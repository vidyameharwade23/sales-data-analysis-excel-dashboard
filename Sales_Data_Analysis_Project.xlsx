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CD67B2C6D4A1E2B0/Documents/"/>
    </mc:Choice>
  </mc:AlternateContent>
  <xr:revisionPtr revIDLastSave="709" documentId="8_{36FB0742-CEA6-4AB6-8698-C2A54EFD3E6C}" xr6:coauthVersionLast="47" xr6:coauthVersionMax="47" xr10:uidLastSave="{1C67BD81-A032-4476-9185-4475D1AFE4AC}"/>
  <bookViews>
    <workbookView xWindow="-108" yWindow="-108" windowWidth="23256" windowHeight="13896" activeTab="4" xr2:uid="{00000000-000D-0000-FFFF-FFFF00000000}"/>
  </bookViews>
  <sheets>
    <sheet name="Raw Sales Data" sheetId="1" r:id="rId1"/>
    <sheet name="Project Guide" sheetId="2" r:id="rId2"/>
    <sheet name="Cleaned Data" sheetId="3" r:id="rId3"/>
    <sheet name="Analysis" sheetId="4" r:id="rId4"/>
    <sheet name="Dashboard" sheetId="5" r:id="rId5"/>
  </sheets>
  <definedNames>
    <definedName name="_xlnm._FilterDatabase" localSheetId="2" hidden="1">'Cleaned Data'!$A$1:$O$301</definedName>
    <definedName name="_xlnm._FilterDatabase" localSheetId="0" hidden="1">'Raw Sales Data'!$A$1:$K$307</definedName>
    <definedName name="Slicer_Clean_Region">#N/A</definedName>
    <definedName name="Slicer_Month">#N/A</definedName>
    <definedName name="Slicer_Product">#N/A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 l="1"/>
  <c r="C5" i="5"/>
  <c r="T9" i="5"/>
  <c r="T8" i="5"/>
  <c r="T7" i="5"/>
  <c r="T6" i="5"/>
  <c r="L31" i="4"/>
  <c r="L32" i="4"/>
  <c r="L33" i="4"/>
  <c r="L34" i="4"/>
  <c r="L35" i="4"/>
  <c r="L36" i="4"/>
  <c r="L37" i="4"/>
  <c r="L38" i="4"/>
  <c r="L39" i="4"/>
  <c r="L30" i="4"/>
  <c r="G5" i="5"/>
  <c r="E5" i="5"/>
  <c r="B9" i="4"/>
  <c r="C43" i="4"/>
  <c r="C44" i="4"/>
  <c r="C45" i="4"/>
  <c r="C46" i="4"/>
  <c r="C47" i="4"/>
  <c r="C48" i="4"/>
  <c r="C49" i="4"/>
  <c r="C50" i="4"/>
  <c r="C51" i="4"/>
  <c r="C52" i="4"/>
  <c r="C53" i="4"/>
  <c r="C54" i="4"/>
  <c r="C55" i="4"/>
  <c r="C56" i="4"/>
  <c r="C57" i="4"/>
  <c r="C58" i="4"/>
  <c r="C59" i="4"/>
  <c r="C60" i="4"/>
  <c r="C61" i="4"/>
  <c r="C62" i="4"/>
  <c r="C42" i="4"/>
  <c r="B61" i="4"/>
  <c r="D61" i="4" s="1"/>
  <c r="B62" i="4"/>
  <c r="D62" i="4" s="1"/>
  <c r="B45" i="4"/>
  <c r="D45" i="4" s="1"/>
  <c r="B59" i="4"/>
  <c r="D59" i="4" s="1"/>
  <c r="B42" i="4"/>
  <c r="D42" i="4" s="1"/>
  <c r="B55" i="4"/>
  <c r="D55" i="4" s="1"/>
  <c r="B56" i="4"/>
  <c r="D56" i="4" s="1"/>
  <c r="B60" i="4"/>
  <c r="D60" i="4" s="1"/>
  <c r="B54" i="4"/>
  <c r="D54" i="4" s="1"/>
  <c r="B46" i="4"/>
  <c r="D46" i="4" s="1"/>
  <c r="B51" i="4"/>
  <c r="D51" i="4" s="1"/>
  <c r="B43" i="4"/>
  <c r="D43" i="4" s="1"/>
  <c r="B47" i="4"/>
  <c r="D47" i="4" s="1"/>
  <c r="B52" i="4"/>
  <c r="D52" i="4" s="1"/>
  <c r="B58" i="4"/>
  <c r="D58" i="4" s="1"/>
  <c r="B53" i="4"/>
  <c r="D53" i="4" s="1"/>
  <c r="B44" i="4"/>
  <c r="D44" i="4" s="1"/>
  <c r="B48" i="4"/>
  <c r="D48" i="4" s="1"/>
  <c r="B57" i="4"/>
  <c r="D57" i="4" s="1"/>
  <c r="B49" i="4"/>
  <c r="D49" i="4" s="1"/>
  <c r="B50" i="4"/>
  <c r="D50" i="4" s="1"/>
  <c r="B35" i="4"/>
  <c r="B39" i="4"/>
  <c r="B36" i="4"/>
  <c r="B32" i="4"/>
  <c r="B37" i="4"/>
  <c r="B33" i="4"/>
  <c r="B31" i="4"/>
  <c r="B38" i="4"/>
  <c r="B34" i="4"/>
  <c r="B30" i="4"/>
  <c r="B26" i="4"/>
  <c r="B27" i="4"/>
  <c r="B25" i="4"/>
  <c r="B24" i="4"/>
  <c r="B20" i="4"/>
  <c r="B19" i="4"/>
  <c r="B18" i="4"/>
  <c r="B17" i="4"/>
  <c r="B16" i="4"/>
  <c r="B15" i="4"/>
  <c r="B14" i="4"/>
  <c r="B13" i="4"/>
  <c r="B12" i="4"/>
  <c r="B11" i="4"/>
  <c r="B10" i="4"/>
  <c r="B4" i="4"/>
  <c r="B3" i="4"/>
  <c r="B2" i="4"/>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2" i="3"/>
</calcChain>
</file>

<file path=xl/sharedStrings.xml><?xml version="1.0" encoding="utf-8"?>
<sst xmlns="http://schemas.openxmlformats.org/spreadsheetml/2006/main" count="4416" uniqueCount="419">
  <si>
    <t>Order ID</t>
  </si>
  <si>
    <t>Order Date</t>
  </si>
  <si>
    <t>Customer Name</t>
  </si>
  <si>
    <t>Region</t>
  </si>
  <si>
    <t>Product</t>
  </si>
  <si>
    <t>Category</t>
  </si>
  <si>
    <t>Quantity</t>
  </si>
  <si>
    <t>Unit Price</t>
  </si>
  <si>
    <t>Revenue</t>
  </si>
  <si>
    <t>Sales Channel</t>
  </si>
  <si>
    <t>Sales Rep</t>
  </si>
  <si>
    <t>O0001</t>
  </si>
  <si>
    <t>Galaxy Tech</t>
  </si>
  <si>
    <t>South</t>
  </si>
  <si>
    <t>Keyboard</t>
  </si>
  <si>
    <t>Accessories</t>
  </si>
  <si>
    <t>Distributor</t>
  </si>
  <si>
    <t>Priya</t>
  </si>
  <si>
    <t>O0002</t>
  </si>
  <si>
    <t>Bright Solutions</t>
  </si>
  <si>
    <t>West</t>
  </si>
  <si>
    <t>Mouse</t>
  </si>
  <si>
    <t>Retail Store</t>
  </si>
  <si>
    <t>Vikram</t>
  </si>
  <si>
    <t>O0003</t>
  </si>
  <si>
    <t>Lotus Enterprises</t>
  </si>
  <si>
    <t>North</t>
  </si>
  <si>
    <t>Laptop</t>
  </si>
  <si>
    <t>Electronics</t>
  </si>
  <si>
    <t>Online</t>
  </si>
  <si>
    <t>O0004</t>
  </si>
  <si>
    <t>Orbit Retail</t>
  </si>
  <si>
    <t>Tablet</t>
  </si>
  <si>
    <t>Karan</t>
  </si>
  <si>
    <t>O0005</t>
  </si>
  <si>
    <t>Printer</t>
  </si>
  <si>
    <t>Office Equipment</t>
  </si>
  <si>
    <t>Rahul</t>
  </si>
  <si>
    <t>O0006</t>
  </si>
  <si>
    <t>Webcam</t>
  </si>
  <si>
    <t>O0007</t>
  </si>
  <si>
    <t>QuickBuy Pvt Ltd</t>
  </si>
  <si>
    <t>O0008</t>
  </si>
  <si>
    <t>Royal Traders</t>
  </si>
  <si>
    <t>O0009</t>
  </si>
  <si>
    <t>Horizon Distributors</t>
  </si>
  <si>
    <t>Desk</t>
  </si>
  <si>
    <t>Furniture</t>
  </si>
  <si>
    <t>O0010</t>
  </si>
  <si>
    <t>Metro Mart</t>
  </si>
  <si>
    <t>Sneha</t>
  </si>
  <si>
    <t>O0011</t>
  </si>
  <si>
    <t>Kaveri Stores</t>
  </si>
  <si>
    <t>East</t>
  </si>
  <si>
    <t>O0012</t>
  </si>
  <si>
    <t>Office Chair</t>
  </si>
  <si>
    <t>Anita</t>
  </si>
  <si>
    <t>O0013</t>
  </si>
  <si>
    <t xml:space="preserve"> south </t>
  </si>
  <si>
    <t>O0014</t>
  </si>
  <si>
    <t>Alpha Traders</t>
  </si>
  <si>
    <t>O0015</t>
  </si>
  <si>
    <t>O0016</t>
  </si>
  <si>
    <t>O0017</t>
  </si>
  <si>
    <t>Monitor</t>
  </si>
  <si>
    <t>O0018</t>
  </si>
  <si>
    <t>Vertex Retail</t>
  </si>
  <si>
    <t>O0019</t>
  </si>
  <si>
    <t>O0020</t>
  </si>
  <si>
    <t>Future Mart</t>
  </si>
  <si>
    <t>O0021</t>
  </si>
  <si>
    <t>O0022</t>
  </si>
  <si>
    <t>O0023</t>
  </si>
  <si>
    <t>O0024</t>
  </si>
  <si>
    <t>O0025</t>
  </si>
  <si>
    <t>Evergreen Stores</t>
  </si>
  <si>
    <t>O0026</t>
  </si>
  <si>
    <t>O0027</t>
  </si>
  <si>
    <t>O0028</t>
  </si>
  <si>
    <t>O0029</t>
  </si>
  <si>
    <t>Prime Distributors</t>
  </si>
  <si>
    <t>O0030</t>
  </si>
  <si>
    <t>O0031</t>
  </si>
  <si>
    <t>O0032</t>
  </si>
  <si>
    <t>O0033</t>
  </si>
  <si>
    <t>Crest Retail</t>
  </si>
  <si>
    <t>O0034</t>
  </si>
  <si>
    <t xml:space="preserve">  Vertex Retail  </t>
  </si>
  <si>
    <t>O0035</t>
  </si>
  <si>
    <t>Nova Solutions</t>
  </si>
  <si>
    <t>O0036</t>
  </si>
  <si>
    <t>O0037</t>
  </si>
  <si>
    <t>O0038</t>
  </si>
  <si>
    <t>Iconic Retail</t>
  </si>
  <si>
    <t>O0039</t>
  </si>
  <si>
    <t>O0040</t>
  </si>
  <si>
    <t>O0041</t>
  </si>
  <si>
    <t>O0042</t>
  </si>
  <si>
    <t>Headphones</t>
  </si>
  <si>
    <t>O0043</t>
  </si>
  <si>
    <t>O0044</t>
  </si>
  <si>
    <t>Sunrise Enterprises</t>
  </si>
  <si>
    <t>O0045</t>
  </si>
  <si>
    <t>Jupiter Systems</t>
  </si>
  <si>
    <t>O0046</t>
  </si>
  <si>
    <t>O0047</t>
  </si>
  <si>
    <t>O0048</t>
  </si>
  <si>
    <t>NORTH</t>
  </si>
  <si>
    <t>O0049</t>
  </si>
  <si>
    <t>O0050</t>
  </si>
  <si>
    <t>O0051</t>
  </si>
  <si>
    <t>O0052</t>
  </si>
  <si>
    <t>O0053</t>
  </si>
  <si>
    <t>O0054</t>
  </si>
  <si>
    <t>O0055</t>
  </si>
  <si>
    <t>O0056</t>
  </si>
  <si>
    <t>O0057</t>
  </si>
  <si>
    <t>O0058</t>
  </si>
  <si>
    <t>O0059</t>
  </si>
  <si>
    <t>O0060</t>
  </si>
  <si>
    <t>Delta Enterprises</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</si>
  <si>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</si>
  <si>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</si>
  <si>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</si>
  <si>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</si>
  <si>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</si>
  <si>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</si>
  <si>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</si>
  <si>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</si>
  <si>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</si>
  <si>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</si>
  <si>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</si>
  <si>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</si>
  <si>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</si>
  <si>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</si>
  <si>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</si>
  <si>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</si>
  <si>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</si>
  <si>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</si>
  <si>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</si>
  <si>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</si>
  <si>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</si>
  <si>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</si>
  <si>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</si>
  <si>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</si>
  <si>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</si>
  <si>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</si>
  <si>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</si>
  <si>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</si>
  <si>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</si>
  <si>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</si>
  <si>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 xml:space="preserve"> east </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</si>
  <si>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</si>
  <si>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</si>
  <si>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</si>
  <si>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</si>
  <si>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</si>
  <si>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</si>
  <si>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</si>
  <si>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</si>
  <si>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</si>
  <si>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</si>
  <si>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</si>
  <si>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</si>
  <si>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</si>
  <si>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</si>
  <si>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</si>
  <si>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</si>
  <si>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</si>
  <si>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</si>
  <si>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</si>
  <si>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</si>
  <si>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</si>
  <si>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</si>
  <si>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 xml:space="preserve">  Evergreen Stores  </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</si>
  <si>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</si>
  <si>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</si>
  <si>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</si>
  <si>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</si>
  <si>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</si>
  <si>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</si>
  <si>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</si>
  <si>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</si>
  <si>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</si>
  <si>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</si>
  <si>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</si>
  <si>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</si>
  <si>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</si>
  <si>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</si>
  <si>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</si>
  <si>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</si>
  <si>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</si>
  <si>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</si>
  <si>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</si>
  <si>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</si>
  <si>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</si>
  <si>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</si>
  <si>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</si>
  <si>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</si>
  <si>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</si>
  <si>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</si>
  <si>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</si>
  <si>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</si>
  <si>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</si>
  <si>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</si>
  <si>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</si>
  <si>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</si>
  <si>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</si>
  <si>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</si>
  <si>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</si>
  <si>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</si>
  <si>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</si>
  <si>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</si>
  <si>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</si>
  <si>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</si>
  <si>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</si>
  <si>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</si>
  <si>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</si>
  <si>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</si>
  <si>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 xml:space="preserve">WEST </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</si>
  <si>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</si>
  <si>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</si>
  <si>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</si>
  <si>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</si>
  <si>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</si>
  <si>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</si>
  <si>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</si>
  <si>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</si>
  <si>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</si>
  <si>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</si>
  <si>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</si>
  <si>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</si>
  <si>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</si>
  <si>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</si>
  <si>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</si>
  <si>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</si>
  <si>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</si>
  <si>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</si>
  <si>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</si>
  <si>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</si>
  <si>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</si>
  <si>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</si>
  <si>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</si>
  <si>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 xml:space="preserve">  Horizon Distributors  </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</si>
  <si>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</si>
  <si>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</si>
  <si>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</si>
  <si>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</si>
  <si>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</si>
  <si>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</si>
  <si>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</si>
  <si>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</si>
  <si>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</si>
  <si>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</si>
  <si>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</si>
  <si>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</si>
  <si>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</si>
  <si>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</si>
  <si>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</si>
  <si>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</si>
  <si>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</si>
  <si>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</si>
  <si>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</si>
  <si>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</si>
  <si>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</si>
  <si>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</si>
  <si>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</si>
  <si>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</si>
  <si>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</si>
  <si>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</si>
  <si>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</si>
  <si>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</si>
  <si>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</si>
  <si>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</si>
  <si>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</si>
  <si>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</si>
  <si>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</si>
  <si>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</si>
  <si>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</si>
  <si>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</si>
  <si>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</si>
  <si>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</si>
  <si>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</si>
  <si>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</si>
  <si>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</si>
  <si>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</si>
  <si>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</si>
  <si>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</si>
  <si>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</si>
  <si>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</si>
  <si>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</si>
  <si>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</si>
  <si>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</si>
  <si>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</si>
  <si>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</si>
  <si>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</si>
  <si>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 xml:space="preserve"> south</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</si>
  <si>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</si>
  <si>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</si>
  <si>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</si>
  <si>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</si>
  <si>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</si>
  <si>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</si>
  <si>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</si>
  <si>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</si>
  <si>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</si>
  <si>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</si>
  <si>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</si>
  <si>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</si>
  <si>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</si>
  <si>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</si>
  <si>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</si>
  <si>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</si>
  <si>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</si>
  <si>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</si>
  <si>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</si>
  <si>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</si>
  <si>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</si>
  <si>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</si>
  <si>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</si>
  <si>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</si>
  <si>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</si>
  <si>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</si>
  <si>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</si>
  <si>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</si>
  <si>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</si>
  <si>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</si>
  <si>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</si>
  <si>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</si>
  <si>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</si>
  <si>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</si>
  <si>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</si>
  <si>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</si>
  <si>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</si>
  <si>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</si>
  <si>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</si>
  <si>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</si>
  <si>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</si>
  <si>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</si>
  <si>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</si>
  <si>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</si>
  <si>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</si>
  <si>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</si>
  <si>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</si>
  <si>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</si>
  <si>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</si>
  <si>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</si>
  <si>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</si>
  <si>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</si>
  <si>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</si>
  <si>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</si>
  <si>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</si>
  <si>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</si>
  <si>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</si>
  <si>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</si>
  <si>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</si>
  <si>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</si>
  <si>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</si>
  <si>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</si>
  <si>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</si>
  <si>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</si>
  <si>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</si>
  <si>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</si>
  <si>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</si>
  <si>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</si>
  <si>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</si>
  <si>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Sales Data Analysis &amp; Interactive Dashboard</t>
  </si>
  <si>
    <t>Project goal</t>
  </si>
  <si>
    <t>Clean raw sales data, analyze business performance, and build an interactive Excel dashboard.</t>
  </si>
  <si>
    <t>Important</t>
  </si>
  <si>
    <t>Do NOT edit Raw Sales Data. Create a copy named Cleaned Data and perform cleaning there.</t>
  </si>
  <si>
    <t>Resume scope</t>
  </si>
  <si>
    <t>Cleaning &amp; validation | PivotTables | XLOOKUP/VLOOKUP | IF | SUMIFS | Filters | Conditional Formatting | KPIs | Charts | Slicers | Business insights</t>
  </si>
  <si>
    <t>Analysis areas</t>
  </si>
  <si>
    <t>Sales trends | Regional performance | Product-wise sales | Monthly revenue | Top products | Customer purchasing patterns | Sales opportunities</t>
  </si>
  <si>
    <t>Cleaned Customer Name</t>
  </si>
  <si>
    <t>Clean Region</t>
  </si>
  <si>
    <t>Unknown</t>
  </si>
  <si>
    <t>KPI</t>
  </si>
  <si>
    <t>Value</t>
  </si>
  <si>
    <t>Total Revenue</t>
  </si>
  <si>
    <t>Total Orders</t>
  </si>
  <si>
    <t>Total Qnty Sold</t>
  </si>
  <si>
    <t>Average Order Value</t>
  </si>
  <si>
    <t>Month</t>
  </si>
  <si>
    <t>January</t>
  </si>
  <si>
    <t>February</t>
  </si>
  <si>
    <t>March</t>
  </si>
  <si>
    <t>April</t>
  </si>
  <si>
    <t>May</t>
  </si>
  <si>
    <t>June</t>
  </si>
  <si>
    <t>July</t>
  </si>
  <si>
    <t>August</t>
  </si>
  <si>
    <t>September</t>
  </si>
  <si>
    <t>October</t>
  </si>
  <si>
    <t>November</t>
  </si>
  <si>
    <t>December</t>
  </si>
  <si>
    <t xml:space="preserve">Region </t>
  </si>
  <si>
    <t xml:space="preserve">Horizon Distributors  </t>
  </si>
  <si>
    <t xml:space="preserve"> Order Count</t>
  </si>
  <si>
    <t>Row Labels</t>
  </si>
  <si>
    <t>Grand Total</t>
  </si>
  <si>
    <t>0</t>
  </si>
  <si>
    <t>SALES DATA ANALYSIS &amp; INTERACTIVE DASHBOARD</t>
  </si>
  <si>
    <t>TOTAL REVENUE</t>
  </si>
  <si>
    <t>TOTAL ORDERS</t>
  </si>
  <si>
    <t>TOTAL QUANTITY</t>
  </si>
  <si>
    <t>AVERAGE ORDER VALUE</t>
  </si>
  <si>
    <t>ORDER LOOKUP</t>
  </si>
  <si>
    <t>Customer</t>
  </si>
  <si>
    <t>Sum of Revenue</t>
  </si>
  <si>
    <t xml:space="preserve">    KEY INSIGHTS &amp; SALES OPPORTUNITIES</t>
  </si>
  <si>
    <t>Top Revenue Product</t>
  </si>
  <si>
    <t>Top Revenue Region</t>
  </si>
  <si>
    <t>Lowest Revenue Product</t>
  </si>
  <si>
    <t>Sales Opportunity 1:</t>
  </si>
  <si>
    <t>Focus on Laptop sales and maintain strong demand through targeted promotions and inventory planning.</t>
  </si>
  <si>
    <t>Sales Opportunity 2:</t>
  </si>
  <si>
    <t>Explore strategies to improve Mouse sales, such as bundles or cross-selling with higher -value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</si>
</sst>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dd\-mmm\-yyyy"/>
    <numFmt numFmtId="165" formatCode="\₹#,##0"/>
    <numFmt numFmtId="166" formatCode="&quot;₹&quot;\ #,##0.00"/>
  </numFmts>
  <fonts count="8" x14ac:knownFonts="1">
    <font>
      <sz val="11"/>
      <color theme="1"/>
      <name val="Calibri"/>
      <family val="2"/>
      <scheme val="minor"/>
    </font>
    <font>
      <b/>
      <sz val="11"/>
      <name val="Calibri"/>
    </font>
    <font>
      <b/>
      <sz val="16"/>
      <name val="Calibri"/>
    </font>
    <font>
      <b/>
      <sz val="11"/>
      <color theme="1"/>
      <name val="Calibri"/>
      <family val="2"/>
      <scheme val="minor"/>
    </font>
    <font>
      <sz val="8"/>
      <name val="Calibri"/>
      <family val="2"/>
      <scheme val="minor"/>
    </font>
    <font>
      <b/>
      <sz val="18"/>
      <color theme="1"/>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D9EAF7"/>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2" fillId="0" borderId="0" xfId="0" applyFont="1"/>
    <xf numFmtId="0" fontId="1" fillId="0" borderId="0" xfId="0" applyFont="1"/>
    <xf numFmtId="0" fontId="3" fillId="0" borderId="0" xfId="0" applyFont="1"/>
    <xf numFmtId="166" fontId="0" fillId="0" borderId="0" xfId="0" applyNumberFormat="1"/>
    <xf numFmtId="0" fontId="0" fillId="0" borderId="0" xfId="0" pivotButton="1"/>
    <xf numFmtId="0" fontId="0" fillId="0" borderId="0" xfId="0" applyAlignment="1">
      <alignment horizontal="left"/>
    </xf>
    <xf numFmtId="0" fontId="6" fillId="0" borderId="1" xfId="0" applyFont="1" applyBorder="1" applyAlignment="1">
      <alignment horizontal="center"/>
    </xf>
    <xf numFmtId="166" fontId="6" fillId="0" borderId="1" xfId="0" applyNumberFormat="1" applyFont="1" applyBorder="1" applyAlignment="1">
      <alignment horizontal="center"/>
    </xf>
    <xf numFmtId="0" fontId="5" fillId="0" borderId="0" xfId="0" applyFont="1" applyAlignment="1">
      <alignment horizontal="center"/>
    </xf>
    <xf numFmtId="0" fontId="3" fillId="0" borderId="1" xfId="0" applyFont="1" applyBorder="1" applyAlignment="1">
      <alignment horizontal="center"/>
    </xf>
    <xf numFmtId="44" fontId="0" fillId="0" borderId="0" xfId="0" applyNumberFormat="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7" fillId="0" borderId="0" xfId="0" applyFont="1"/>
    <xf numFmtId="0" fontId="3" fillId="0" borderId="0" xfId="0" applyFont="1" applyBorder="1"/>
    <xf numFmtId="0" fontId="0" fillId="0" borderId="0" xfId="0" applyBorder="1" applyAlignment="1"/>
    <xf numFmtId="0" fontId="3" fillId="0" borderId="8" xfId="0" applyFont="1" applyBorder="1"/>
    <xf numFmtId="0" fontId="0" fillId="0" borderId="9" xfId="0" applyBorder="1" applyAlignment="1">
      <alignment horizontal="center"/>
    </xf>
    <xf numFmtId="0" fontId="0" fillId="0" borderId="10" xfId="0" applyBorder="1" applyAlignment="1">
      <alignment horizontal="center"/>
    </xf>
    <xf numFmtId="0" fontId="3" fillId="0" borderId="11" xfId="0" applyFont="1" applyBorder="1"/>
    <xf numFmtId="0" fontId="0" fillId="0" borderId="12" xfId="0" applyBorder="1" applyAlignment="1">
      <alignment horizontal="center"/>
    </xf>
    <xf numFmtId="0" fontId="0" fillId="0" borderId="13" xfId="0" applyBorder="1" applyAlignment="1">
      <alignment horizontal="center"/>
    </xf>
    <xf numFmtId="0" fontId="3" fillId="0" borderId="10" xfId="0" applyFont="1" applyBorder="1"/>
    <xf numFmtId="0" fontId="3" fillId="0" borderId="14" xfId="0" applyFont="1" applyBorder="1"/>
    <xf numFmtId="0" fontId="3" fillId="0" borderId="15" xfId="0" applyFont="1" applyBorder="1"/>
    <xf numFmtId="0" fontId="3" fillId="0" borderId="13" xfId="0" applyFont="1" applyBorder="1"/>
    <xf numFmtId="0" fontId="0" fillId="0" borderId="7" xfId="0" applyBorder="1"/>
  </cellXfs>
  <cellStyles count="1">
    <cellStyle name="Normal" xfId="0" builtinId="0"/>
  </cellStyles>
  <dxfs count="33">
    <dxf>
      <numFmt numFmtId="166" formatCode="&quot;₹&quot;\ #,##0.00"/>
    </dxf>
    <dxf>
      <numFmt numFmtId="34" formatCode="_ &quot;₹&quot;\ * #,##0.00_ ;_ &quot;₹&quot;\ * \-#,##0.00_ ;_ &quot;₹&quot;\ * &quot;-&quot;??_ ;_ @_ "/>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[Sales_Data_Analysis_Project.xlsx]Analysis!PivotTable2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Analysis!$G$12</c:f>
              <c:strCache>
                <c:ptCount val="1"/>
                <c:pt idx="0">
                  <c:v>Total</c:v>
                </c:pt>
              </c:strCache>
            </c:strRef>
          </c:tx>
          <c:spPr>
            <a:solidFill>
              <a:schemeClr val="accent5">
                <a:tint val="77000"/>
              </a:schemeClr>
            </a:solidFill>
            <a:ln>
              <a:noFill/>
            </a:ln>
            <a:effectLst/>
          </c:spPr>
          <c:invertIfNegative val="0"/>
          <c:cat>
            <c:strRef>
              <c:f>Analysis!$F$13:$F$25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Analysis!$G$13:$G$25</c:f>
              <c:numCache>
                <c:formatCode>_("₹"* #,##0.00_);_("₹"* \(#,##0.00\);_("₹"* "-"??_);_(@_)</c:formatCode>
                <c:ptCount val="12"/>
                <c:pt idx="0">
                  <c:v>1728820</c:v>
                </c:pt>
                <c:pt idx="1">
                  <c:v>1151990</c:v>
                </c:pt>
                <c:pt idx="2">
                  <c:v>1436990</c:v>
                </c:pt>
                <c:pt idx="3">
                  <c:v>1541050</c:v>
                </c:pt>
                <c:pt idx="4">
                  <c:v>2609370</c:v>
                </c:pt>
                <c:pt idx="5">
                  <c:v>1211550</c:v>
                </c:pt>
                <c:pt idx="6">
                  <c:v>1248590</c:v>
                </c:pt>
                <c:pt idx="7">
                  <c:v>840840</c:v>
                </c:pt>
                <c:pt idx="8">
                  <c:v>1773180</c:v>
                </c:pt>
                <c:pt idx="9">
                  <c:v>2185110</c:v>
                </c:pt>
                <c:pt idx="10">
                  <c:v>1518710</c:v>
                </c:pt>
                <c:pt idx="11">
                  <c:v>1080210</c:v>
                </c:pt>
              </c:numCache>
            </c:numRef>
          </c:val>
          <c:extLst>
            <c:ext xmlns:c16="http://schemas.microsoft.com/office/drawing/2014/chart" uri="{C3380CC4-5D6E-409C-BE32-E72D297353CC}">
              <c16:uniqueId val="{00000003-AF1E-4608-9404-8AE4CF827362}"/>
            </c:ext>
          </c:extLst>
        </c:ser>
        <c:dLbls>
          <c:showLegendKey val="0"/>
          <c:showVal val="0"/>
          <c:showCatName val="0"/>
          <c:showSerName val="0"/>
          <c:showPercent val="0"/>
          <c:showBubbleSize val="0"/>
        </c:dLbls>
        <c:gapWidth val="150"/>
        <c:axId val="859598687"/>
        <c:axId val="437475503"/>
      </c:barChart>
      <c:catAx>
        <c:axId val="85959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437475503"/>
        <c:crosses val="autoZero"/>
        <c:auto val="1"/>
        <c:lblAlgn val="ctr"/>
        <c:lblOffset val="100"/>
        <c:noMultiLvlLbl val="0"/>
      </c:catAx>
      <c:valAx>
        <c:axId val="437475503"/>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quot;₹&quot;* #,##0.00_);_(&quot;₹&quot;* \(#,##0.00\);_(&quot;₹&quot;* &quot;-&quot;??_);_(@_)"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85959868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c:f>
              <c:strCache>
                <c:ptCount val="1"/>
                <c:pt idx="0">
                  <c:v>Total</c:v>
                </c:pt>
              </c:strCache>
            </c:strRef>
          </c:tx>
          <c:spPr>
            <a:solidFill>
              <a:schemeClr val="accent1"/>
            </a:solidFill>
            <a:ln>
              <a:noFill/>
            </a:ln>
            <a:effectLst/>
          </c:spPr>
          <c:invertIfNegative val="0"/>
          <c:cat>
            <c:strRef>
              <c:f>Analysis!$F$4:$F$9</c:f>
              <c:strCache>
                <c:ptCount val="5"/>
                <c:pt idx="0">
                  <c:v>North</c:v>
                </c:pt>
                <c:pt idx="1">
                  <c:v>East</c:v>
                </c:pt>
                <c:pt idx="2">
                  <c:v>South</c:v>
                </c:pt>
                <c:pt idx="3">
                  <c:v>West</c:v>
                </c:pt>
                <c:pt idx="4">
                  <c:v>Unknown</c:v>
                </c:pt>
              </c:strCache>
            </c:strRef>
          </c:cat>
          <c:val>
            <c:numRef>
              <c:f>Analysis!$G$4:$G$9</c:f>
              <c:numCache>
                <c:formatCode>\₹#,##0</c:formatCode>
                <c:ptCount val="5"/>
                <c:pt idx="0">
                  <c:v>6264470</c:v>
                </c:pt>
                <c:pt idx="1">
                  <c:v>4463440</c:v>
                </c:pt>
                <c:pt idx="2">
                  <c:v>3824470</c:v>
                </c:pt>
                <c:pt idx="3">
                  <c:v>3460650</c:v>
                </c:pt>
                <c:pt idx="4">
                  <c:v>313380</c:v>
                </c:pt>
              </c:numCache>
            </c:numRef>
          </c:val>
          <c:extLst>
            <c:ext xmlns:c16="http://schemas.microsoft.com/office/drawing/2014/chart" uri="{C3380CC4-5D6E-409C-BE32-E72D297353CC}">
              <c16:uniqueId val="{00000000-176D-4571-9588-77797B79D541}"/>
            </c:ext>
          </c:extLst>
        </c:ser>
        <c:dLbls>
          <c:showLegendKey val="0"/>
          <c:showVal val="0"/>
          <c:showCatName val="0"/>
          <c:showSerName val="0"/>
          <c:showPercent val="0"/>
          <c:showBubbleSize val="0"/>
        </c:dLbls>
        <c:gapWidth val="219"/>
        <c:overlap val="-27"/>
        <c:axId val="2029781183"/>
        <c:axId val="437473583"/>
      </c:barChart>
      <c:catAx>
        <c:axId val="202978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37473583"/>
        <c:crosses val="autoZero"/>
        <c:auto val="1"/>
        <c:lblAlgn val="ctr"/>
        <c:lblOffset val="100"/>
        <c:noMultiLvlLbl val="0"/>
      </c:catAx>
      <c:valAx>
        <c:axId val="437473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2978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[Sales_Data_Analysis_Project.xlsx]Analysis!PivotTable9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Analysis!$G$29</c:f>
              <c:strCache>
                <c:ptCount val="1"/>
                <c:pt idx="0">
                  <c:v>Total</c:v>
                </c:pt>
              </c:strCache>
            </c:strRef>
          </c:tx>
          <c:spPr>
            <a:solidFill>
              <a:schemeClr val="accent1"/>
            </a:solidFill>
            <a:ln>
              <a:noFill/>
            </a:ln>
            <a:effectLst/>
          </c:spPr>
          <c:invertIfNegative val="0"/>
          <c:cat>
            <c:strRef>
              <c:f>Analysis!$F$30:$F$40</c:f>
              <c:strCache>
                <c:ptCount val="10"/>
                <c:pt idx="0">
                  <c:v>Desk</c:v>
                </c:pt>
                <c:pt idx="1">
                  <c:v>Headphones</c:v>
                </c:pt>
                <c:pt idx="2">
                  <c:v>Keyboard</c:v>
                </c:pt>
                <c:pt idx="3">
                  <c:v>Laptop</c:v>
                </c:pt>
                <c:pt idx="4">
                  <c:v>Monitor</c:v>
                </c:pt>
                <c:pt idx="5">
                  <c:v>Mouse</c:v>
                </c:pt>
                <c:pt idx="6">
                  <c:v>Office Chair</c:v>
                </c:pt>
                <c:pt idx="7">
                  <c:v>Printer</c:v>
                </c:pt>
                <c:pt idx="8">
                  <c:v>Tablet</c:v>
                </c:pt>
                <c:pt idx="9">
                  <c:v>Webcam</c:v>
                </c:pt>
              </c:strCache>
            </c:strRef>
          </c:cat>
          <c:val>
            <c:numRef>
              <c:f>Analysis!$G$30:$G$40</c:f>
              <c:numCache>
                <c:formatCode>\₹#,##0</c:formatCode>
                <c:ptCount val="10"/>
                <c:pt idx="0">
                  <c:v>563040</c:v>
                </c:pt>
                <c:pt idx="1">
                  <c:v>193390</c:v>
                </c:pt>
                <c:pt idx="2">
                  <c:v>198200</c:v>
                </c:pt>
                <c:pt idx="3">
                  <c:v>9864040</c:v>
                </c:pt>
                <c:pt idx="4">
                  <c:v>1835660</c:v>
                </c:pt>
                <c:pt idx="5">
                  <c:v>79390</c:v>
                </c:pt>
                <c:pt idx="6">
                  <c:v>613170</c:v>
                </c:pt>
                <c:pt idx="7">
                  <c:v>1503960</c:v>
                </c:pt>
                <c:pt idx="8">
                  <c:v>3077220</c:v>
                </c:pt>
                <c:pt idx="9">
                  <c:v>398340</c:v>
                </c:pt>
              </c:numCache>
            </c:numRef>
          </c:val>
          <c:extLst>
            <c:ext xmlns:c16="http://schemas.microsoft.com/office/drawing/2014/chart" uri="{C3380CC4-5D6E-409C-BE32-E72D297353CC}">
              <c16:uniqueId val="{00000000-082C-487D-9D6F-E1148A951C7A}"/>
            </c:ext>
          </c:extLst>
        </c:ser>
        <c:dLbls>
          <c:showLegendKey val="0"/>
          <c:showVal val="0"/>
          <c:showCatName val="0"/>
          <c:showSerName val="0"/>
          <c:showPercent val="0"/>
          <c:showBubbleSize val="0"/>
        </c:dLbls>
        <c:gapWidth val="150"/>
        <c:axId val="816680207"/>
        <c:axId val="437558543"/>
      </c:barChart>
      <c:catAx>
        <c:axId val="81668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37558543"/>
        <c:crosses val="autoZero"/>
        <c:auto val="1"/>
        <c:lblAlgn val="ctr"/>
        <c:lblOffset val="100"/>
        <c:noMultiLvlLbl val="0"/>
      </c:catAx>
      <c:valAx>
        <c:axId val="437558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1668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562706</xdr:colOff>
      <xdr:row>6</xdr:row>
      <xdr:rowOff>160020</xdr:rowOff>
    </xdr:from>
    <xdr:to>
      <xdr:col>8</xdr:col>
      <xdr:colOff>266699</xdr:colOff>
      <xdr:row>21</xdr:row>
      <xdr:rowOff>43082</xdr:rowOff>
    </xdr:to>
    <xdr:graphicFrame macro="">
      <xdr:nvGraphicFramePr>
        <xdr:cNvPr id="2" name="Chart 1">
          <a:extLst>
            <a:ext uri="{FF2B5EF4-FFF2-40B4-BE49-F238E27FC236}">
              <a16:creationId xmlns:a16="http://schemas.microsoft.com/office/drawing/2014/main" id="{3AE500C6-0D02-41CE-AFD6-A814D991D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336014</xdr:colOff>
      <xdr:row>44</xdr:row>
      <xdr:rowOff>152786</xdr:rowOff>
    </xdr:from>
    <xdr:to>
      <xdr:col>12</xdr:col>
      <xdr:colOff>551233</xdr:colOff>
      <xdr:row>59</xdr:row>
      <xdr:rowOff>129702</xdr:rowOff>
    </xdr:to>
    <mc:AlternateContent xmlns:mc="http://schemas.openxmlformats.org/markup-compatibility/2006" xmlns:a14="http://schemas.microsoft.com/office/drawing/2010/main">
      <mc:Choice Requires="a14">
        <xdr:graphicFrame macro="">
          <xdr:nvGraphicFramePr>
            <xdr:cNvPr id="5" name="Clean Region">
              <a:extLst>
                <a:ext uri="{FF2B5EF4-FFF2-40B4-BE49-F238E27FC236}">
                  <a16:creationId xmlns:a16="http://schemas.microsoft.com/office/drawing/2014/main" id="{15480AC7-71A7-4397-8537-6DAFCF38C63A}"/>
                </a:ext>
              </a:extLst>
            </xdr:cNvPr>
            <xdr:cNvGraphicFramePr/>
          </xdr:nvGraphicFramePr>
          <xdr:xfrm>
            <a:off x="0" y="0"/>
            <a:ext cx="0" cy="0"/>
          </xdr:xfrm>
          <a:graphic>
            <a:graphicData uri="http://schemas.microsoft.com/office/drawing/2010/slicer">
              <sle:slicer xmlns:sle="http://schemas.microsoft.com/office/drawing/2010/slicer" name="Clean Region"/>
            </a:graphicData>
          </a:graphic>
        </xdr:graphicFrame>
      </mc:Choice>
      <mc:Fallback xmlns="">
        <xdr:sp macro="" textlink="">
          <xdr:nvSpPr>
            <xdr:cNvPr id="0" name=""/>
            <xdr:cNvSpPr>
              <a:spLocks noTextEdit="1"/>
            </xdr:cNvSpPr>
          </xdr:nvSpPr>
          <xdr:spPr>
            <a:xfrm>
              <a:off x="5822414" y="8359526"/>
              <a:ext cx="2044019" cy="2720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377919</xdr:colOff>
      <xdr:row>25</xdr:row>
      <xdr:rowOff>48153</xdr:rowOff>
    </xdr:from>
    <xdr:to>
      <xdr:col>12</xdr:col>
      <xdr:colOff>575552</xdr:colOff>
      <xdr:row>39</xdr:row>
      <xdr:rowOff>137808</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492D4DDC-2E6A-4D29-98BA-8463136C245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864319" y="4780173"/>
              <a:ext cx="2026433" cy="2649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416843</xdr:colOff>
      <xdr:row>44</xdr:row>
      <xdr:rowOff>111269</xdr:rowOff>
    </xdr:from>
    <xdr:to>
      <xdr:col>8</xdr:col>
      <xdr:colOff>112043</xdr:colOff>
      <xdr:row>59</xdr:row>
      <xdr:rowOff>111270</xdr:rowOff>
    </xdr:to>
    <xdr:graphicFrame macro="">
      <xdr:nvGraphicFramePr>
        <xdr:cNvPr id="7" name="Chart 6">
          <a:extLst>
            <a:ext uri="{FF2B5EF4-FFF2-40B4-BE49-F238E27FC236}">
              <a16:creationId xmlns:a16="http://schemas.microsoft.com/office/drawing/2014/main" id="{4618CCE1-D446-4E9C-8B86-B7B1867E2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475270</xdr:colOff>
      <xdr:row>25</xdr:row>
      <xdr:rowOff>52080</xdr:rowOff>
    </xdr:from>
    <xdr:to>
      <xdr:col>8</xdr:col>
      <xdr:colOff>170470</xdr:colOff>
      <xdr:row>40</xdr:row>
      <xdr:rowOff>52080</xdr:rowOff>
    </xdr:to>
    <xdr:graphicFrame macro="">
      <xdr:nvGraphicFramePr>
        <xdr:cNvPr id="8" name="Chart 7">
          <a:extLst>
            <a:ext uri="{FF2B5EF4-FFF2-40B4-BE49-F238E27FC236}">
              <a16:creationId xmlns:a16="http://schemas.microsoft.com/office/drawing/2014/main" id="{0E182ACC-7674-49D8-8E13-9C3F88D6D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198120</xdr:colOff>
      <xdr:row>6</xdr:row>
      <xdr:rowOff>160020</xdr:rowOff>
    </xdr:from>
    <xdr:to>
      <xdr:col>12</xdr:col>
      <xdr:colOff>510540</xdr:colOff>
      <xdr:row>21</xdr:row>
      <xdr:rowOff>0</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6A779898-2A8A-4E8A-8B1B-BB4FA0CE15F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684520" y="1417320"/>
              <a:ext cx="2141220"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u" refreshedDate="46291.088662499998" createdVersion="8" refreshedVersion="8" minRefreshableVersion="3" recordCount="300" xr:uid="{4A2EB15A-5B66-4C0B-ABBB-131FE4D7FA74}">
  <cacheSource type="worksheet">
    <worksheetSource ref="A1:L301" sheet="Cleaned Data"/>
  </cacheSource>
  <cacheFields count="12">
    <cacheField name="Order ID" numFmtId="0">
      <sharedItems/>
    </cacheField>
    <cacheField name="Order Date" numFmtId="164">
      <sharedItems containsSemiMixedTypes="0" containsNonDate="0" containsDate="1" containsString="0" minDate="2025-01-01T00:00:00" maxDate="2025-12-31T00:00:00"/>
    </cacheField>
    <cacheField name="Customer Name" numFmtId="0">
      <sharedItems/>
    </cacheField>
    <cacheField name="Clean Region" numFmtId="0">
      <sharedItems count="5">
        <s v="South"/>
        <s v="West"/>
        <s v="North"/>
        <s v="East"/>
        <s v="Unknown"/>
      </sharedItems>
    </cacheField>
    <cacheField name="Product" numFmtId="0">
      <sharedItems count="10">
        <s v="Keyboard"/>
        <s v="Mouse"/>
        <s v="Laptop"/>
        <s v="Tablet"/>
        <s v="Printer"/>
        <s v="Webcam"/>
        <s v="Desk"/>
        <s v="Office Chair"/>
        <s v="Monitor"/>
        <s v="Headphones"/>
      </sharedItems>
    </cacheField>
    <cacheField name="Category" numFmtId="0">
      <sharedItems/>
    </cacheField>
    <cacheField name="Quantity" numFmtId="0">
      <sharedItems containsSemiMixedTypes="0" containsString="0" containsNumber="1" containsInteger="1" minValue="1" maxValue="10"/>
    </cacheField>
    <cacheField name="Unit Price" numFmtId="165">
      <sharedItems containsSemiMixedTypes="0" containsString="0" containsNumber="1" containsInteger="1" minValue="850" maxValue="56090"/>
    </cacheField>
    <cacheField name="Calculated revenue" numFmtId="165">
      <sharedItems containsSemiMixedTypes="0" containsString="0" containsNumber="1" containsInteger="1" minValue="850" maxValue="560500"/>
    </cacheField>
    <cacheField name="Sales Channel" numFmtId="0">
      <sharedItems/>
    </cacheField>
    <cacheField name="Sales Rep" numFmtId="0">
      <sharedItems/>
    </cacheField>
    <cacheField name="Cleaned Customer Name" numFmtId="0">
      <sharedItems/>
    </cacheField>
  </cacheFields>
  <extLst>
    <ext xmlns:x14="http://schemas.microsoft.com/office/spreadsheetml/2009/9/main" uri="{725AE2AE-9491-48be-B2B4-4EB974FC3084}">
      <x14:pivotCacheDefinition pivotCacheId="20640908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u" refreshedDate="46296.387374421298" createdVersion="8" refreshedVersion="8" minRefreshableVersion="3" recordCount="12" xr:uid="{066AF086-1D74-4A53-83F8-EEFE25FBD9FE}">
  <cacheSource type="worksheet">
    <worksheetSource ref="A8:B20" sheet="Analysis"/>
  </cacheSource>
  <cacheFields count="2">
    <cacheField name="Month" numFmtId="0">
      <sharedItems count="12">
        <s v="January"/>
        <s v="February"/>
        <s v="March"/>
        <s v="April"/>
        <s v="May"/>
        <s v="June"/>
        <s v="July"/>
        <s v="August"/>
        <s v="September"/>
        <s v="October"/>
        <s v="November"/>
        <s v="December"/>
      </sharedItems>
    </cacheField>
    <cacheField name="Revenue" numFmtId="166">
      <sharedItems containsSemiMixedTypes="0" containsString="0" containsNumber="1" containsInteger="1" minValue="840840" maxValue="2609370"/>
    </cacheField>
  </cacheFields>
  <extLst>
    <ext xmlns:x14="http://schemas.microsoft.com/office/spreadsheetml/2009/9/main" uri="{725AE2AE-9491-48be-B2B4-4EB974FC3084}">
      <x14:pivotCacheDefinition pivotCacheId="1700781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0001"/>
    <d v="2025-07-08T00:00:00"/>
    <s v="Galaxy Tech"/>
    <x v="0"/>
    <x v="0"/>
    <s v="Accessories"/>
    <n v="8"/>
    <n v="1870"/>
    <n v="14960"/>
    <s v="Distributor"/>
    <s v="Priya"/>
    <s v="Galaxy Tech"/>
  </r>
  <r>
    <s v="O0002"/>
    <d v="2025-05-11T00:00:00"/>
    <s v="Bright Solutions"/>
    <x v="1"/>
    <x v="1"/>
    <s v="Accessories"/>
    <n v="2"/>
    <n v="850"/>
    <n v="1700"/>
    <s v="Retail Store"/>
    <s v="Vikram"/>
    <s v="Bright Solutions"/>
  </r>
  <r>
    <s v="O0003"/>
    <d v="2025-11-10T00:00:00"/>
    <s v="Lotus Enterprises"/>
    <x v="2"/>
    <x v="2"/>
    <s v="Electronics"/>
    <n v="10"/>
    <n v="52980"/>
    <n v="529800"/>
    <s v="Online"/>
    <s v="Priya"/>
    <s v="Lotus Enterprises"/>
  </r>
  <r>
    <s v="O0004"/>
    <d v="2025-09-28T00:00:00"/>
    <s v="Orbit Retail"/>
    <x v="0"/>
    <x v="3"/>
    <s v="Electronics"/>
    <n v="1"/>
    <n v="27070"/>
    <n v="27070"/>
    <s v="Distributor"/>
    <s v="Karan"/>
    <s v="Orbit Retail"/>
  </r>
  <r>
    <s v="O0005"/>
    <d v="2025-11-03T00:00:00"/>
    <s v="Galaxy Tech"/>
    <x v="2"/>
    <x v="4"/>
    <s v="Office Equipment"/>
    <n v="4"/>
    <n v="11590"/>
    <n v="46360"/>
    <s v="Online"/>
    <s v="Rahul"/>
    <s v="Galaxy Tech"/>
  </r>
  <r>
    <s v="O0006"/>
    <d v="2025-09-22T00:00:00"/>
    <s v="Bright Solutions"/>
    <x v="1"/>
    <x v="5"/>
    <s v="Accessories"/>
    <n v="10"/>
    <n v="3360"/>
    <n v="33600"/>
    <s v="Distributor"/>
    <s v="Karan"/>
    <s v="Bright Solutions"/>
  </r>
  <r>
    <s v="O0007"/>
    <d v="2025-07-25T00:00:00"/>
    <s v="QuickBuy Pvt Ltd"/>
    <x v="1"/>
    <x v="2"/>
    <s v="Electronics"/>
    <n v="3"/>
    <n v="48130"/>
    <n v="144390"/>
    <s v="Retail Store"/>
    <s v="Karan"/>
    <s v="QuickBuy Pvt Ltd"/>
  </r>
  <r>
    <s v="O0008"/>
    <d v="2025-11-06T00:00:00"/>
    <s v="Royal Traders"/>
    <x v="0"/>
    <x v="0"/>
    <s v="Accessories"/>
    <n v="3"/>
    <n v="1810"/>
    <n v="5430"/>
    <s v="Retail Store"/>
    <s v="Rahul"/>
    <s v="Royal Traders"/>
  </r>
  <r>
    <s v="O0009"/>
    <d v="2025-08-03T00:00:00"/>
    <s v="Horizon Distributors"/>
    <x v="2"/>
    <x v="6"/>
    <s v="Furniture"/>
    <n v="4"/>
    <n v="12810"/>
    <n v="51240"/>
    <s v="Online"/>
    <s v="Rahul"/>
    <s v="Horizon Distributors"/>
  </r>
  <r>
    <s v="O0010"/>
    <d v="2025-07-07T00:00:00"/>
    <s v="Metro Mart"/>
    <x v="2"/>
    <x v="4"/>
    <s v="Office Equipment"/>
    <n v="4"/>
    <n v="13430"/>
    <n v="53720"/>
    <s v="Online"/>
    <s v="Sneha"/>
    <s v="Metro Mart"/>
  </r>
  <r>
    <s v="O0011"/>
    <d v="2025-05-16T00:00:00"/>
    <s v="Kaveri Stores"/>
    <x v="3"/>
    <x v="2"/>
    <s v="Electronics"/>
    <n v="10"/>
    <n v="54270"/>
    <n v="542700"/>
    <s v="Online"/>
    <s v="Priya"/>
    <s v="Kaveri Stores"/>
  </r>
  <r>
    <s v="O0012"/>
    <d v="2025-02-10T00:00:00"/>
    <s v="Galaxy Tech"/>
    <x v="2"/>
    <x v="7"/>
    <s v="Furniture"/>
    <n v="4"/>
    <n v="9080"/>
    <n v="36320"/>
    <s v="Retail Store"/>
    <s v="Anita"/>
    <s v="Galaxy Tech"/>
  </r>
  <r>
    <s v="O0013"/>
    <d v="2025-04-09T00:00:00"/>
    <s v="Lotus Enterprises"/>
    <x v="0"/>
    <x v="2"/>
    <s v="Electronics"/>
    <n v="2"/>
    <n v="50550"/>
    <n v="101100"/>
    <s v="Retail Store"/>
    <s v="Priya"/>
    <s v="Lotus Enterprises"/>
  </r>
  <r>
    <s v="O0014"/>
    <d v="2025-05-11T00:00:00"/>
    <s v="Alpha Traders"/>
    <x v="2"/>
    <x v="3"/>
    <s v="Electronics"/>
    <n v="2"/>
    <n v="30110"/>
    <n v="60220"/>
    <s v="Retail Store"/>
    <s v="Vikram"/>
    <s v="Alpha Traders"/>
  </r>
  <r>
    <s v="O0015"/>
    <d v="2025-02-11T00:00:00"/>
    <s v="Metro Mart"/>
    <x v="3"/>
    <x v="4"/>
    <s v="Office Equipment"/>
    <n v="3"/>
    <n v="12360"/>
    <n v="37080"/>
    <s v="Distributor"/>
    <s v="Anita"/>
    <s v="Metro Mart"/>
  </r>
  <r>
    <s v="O0016"/>
    <d v="2025-08-19T00:00:00"/>
    <s v="Metro Mart"/>
    <x v="3"/>
    <x v="0"/>
    <s v="Accessories"/>
    <n v="3"/>
    <n v="1920"/>
    <n v="5760"/>
    <s v="Distributor"/>
    <s v="Sneha"/>
    <s v="Metro Mart"/>
  </r>
  <r>
    <s v="O0017"/>
    <d v="2025-03-27T00:00:00"/>
    <s v="Bright Solutions"/>
    <x v="0"/>
    <x v="8"/>
    <s v="Electronics"/>
    <n v="1"/>
    <n v="14010"/>
    <n v="14010"/>
    <s v="Online"/>
    <s v="Vikram"/>
    <s v="Bright Solutions"/>
  </r>
  <r>
    <s v="O0018"/>
    <d v="2025-02-13T00:00:00"/>
    <s v="Vertex Retail"/>
    <x v="0"/>
    <x v="3"/>
    <s v="Electronics"/>
    <n v="6"/>
    <n v="29360"/>
    <n v="176160"/>
    <s v="Retail Store"/>
    <s v="Priya"/>
    <s v="Vertex Retail"/>
  </r>
  <r>
    <s v="O0019"/>
    <d v="2025-07-09T00:00:00"/>
    <s v="Alpha Traders"/>
    <x v="2"/>
    <x v="0"/>
    <s v="Accessories"/>
    <n v="1"/>
    <n v="1760"/>
    <n v="1760"/>
    <s v="Online"/>
    <s v="Priya"/>
    <s v="Alpha Traders"/>
  </r>
  <r>
    <s v="O0020"/>
    <d v="2025-12-25T00:00:00"/>
    <s v="Future Mart"/>
    <x v="1"/>
    <x v="1"/>
    <s v="Accessories"/>
    <n v="5"/>
    <n v="950"/>
    <n v="4750"/>
    <s v="Distributor"/>
    <s v="Anita"/>
    <s v="Future Mart"/>
  </r>
  <r>
    <s v="O0021"/>
    <d v="2025-06-01T00:00:00"/>
    <s v="Orbit Retail"/>
    <x v="3"/>
    <x v="4"/>
    <s v="Office Equipment"/>
    <n v="4"/>
    <n v="12040"/>
    <n v="48160"/>
    <s v="Retail Store"/>
    <s v="Anita"/>
    <s v="Orbit Retail"/>
  </r>
  <r>
    <s v="O0022"/>
    <d v="2025-09-25T00:00:00"/>
    <s v="Galaxy Tech"/>
    <x v="0"/>
    <x v="1"/>
    <s v="Accessories"/>
    <n v="1"/>
    <n v="860"/>
    <n v="860"/>
    <s v="Distributor"/>
    <s v="Anita"/>
    <s v="Galaxy Tech"/>
  </r>
  <r>
    <s v="O0023"/>
    <d v="2025-01-02T00:00:00"/>
    <s v="Bright Solutions"/>
    <x v="1"/>
    <x v="8"/>
    <s v="Electronics"/>
    <n v="10"/>
    <n v="13960"/>
    <n v="139600"/>
    <s v="Retail Store"/>
    <s v="Sneha"/>
    <s v="Bright Solutions"/>
  </r>
  <r>
    <s v="O0024"/>
    <d v="2025-02-22T00:00:00"/>
    <s v="Lotus Enterprises"/>
    <x v="0"/>
    <x v="0"/>
    <s v="Accessories"/>
    <n v="4"/>
    <n v="1850"/>
    <n v="7400"/>
    <s v="Retail Store"/>
    <s v="Karan"/>
    <s v="Lotus Enterprises"/>
  </r>
  <r>
    <s v="O0025"/>
    <d v="2025-10-21T00:00:00"/>
    <s v="Evergreen Stores"/>
    <x v="1"/>
    <x v="2"/>
    <s v="Electronics"/>
    <n v="2"/>
    <n v="49850"/>
    <n v="99700"/>
    <s v="Retail Store"/>
    <s v="Vikram"/>
    <s v="Evergreen Stores"/>
  </r>
  <r>
    <s v="O0026"/>
    <d v="2025-07-20T00:00:00"/>
    <s v="Future Mart"/>
    <x v="1"/>
    <x v="1"/>
    <s v="Accessories"/>
    <n v="5"/>
    <n v="940"/>
    <n v="4700"/>
    <s v="Unknown"/>
    <s v="Priya"/>
    <s v="Future Mart"/>
  </r>
  <r>
    <s v="O0027"/>
    <d v="2025-05-27T00:00:00"/>
    <s v="Vertex Retail"/>
    <x v="1"/>
    <x v="3"/>
    <s v="Electronics"/>
    <n v="4"/>
    <n v="25830"/>
    <n v="103320"/>
    <s v="Distributor"/>
    <s v="Karan"/>
    <s v="Vertex Retail"/>
  </r>
  <r>
    <s v="O0028"/>
    <d v="2025-12-26T00:00:00"/>
    <s v="Alpha Traders"/>
    <x v="3"/>
    <x v="5"/>
    <s v="Accessories"/>
    <n v="2"/>
    <n v="3210"/>
    <n v="6420"/>
    <s v="Online"/>
    <s v="Anita"/>
    <s v="Alpha Traders"/>
  </r>
  <r>
    <s v="O0029"/>
    <d v="2025-09-20T00:00:00"/>
    <s v="Prime Distributors"/>
    <x v="0"/>
    <x v="8"/>
    <s v="Electronics"/>
    <n v="3"/>
    <n v="14950"/>
    <n v="44850"/>
    <s v="Online"/>
    <s v="Karan"/>
    <s v="Prime Distributors"/>
  </r>
  <r>
    <s v="O0030"/>
    <d v="2025-05-20T00:00:00"/>
    <s v="Evergreen Stores"/>
    <x v="2"/>
    <x v="4"/>
    <s v="Office Equipment"/>
    <n v="2"/>
    <n v="11690"/>
    <n v="23380"/>
    <s v="Distributor"/>
    <s v="Anita"/>
    <s v="Evergreen Stores"/>
  </r>
  <r>
    <s v="O0031"/>
    <d v="2025-06-01T00:00:00"/>
    <s v="Alpha Traders"/>
    <x v="1"/>
    <x v="0"/>
    <s v="Accessories"/>
    <n v="4"/>
    <n v="1900"/>
    <n v="7600"/>
    <s v="Distributor"/>
    <s v="Anita"/>
    <s v="Alpha Traders"/>
  </r>
  <r>
    <s v="O0032"/>
    <d v="2025-08-15T00:00:00"/>
    <s v="Prime Distributors"/>
    <x v="0"/>
    <x v="8"/>
    <s v="Electronics"/>
    <n v="6"/>
    <n v="14750"/>
    <n v="88500"/>
    <s v="Online"/>
    <s v="Priya"/>
    <s v="Prime Distributors"/>
  </r>
  <r>
    <s v="O0033"/>
    <d v="2025-07-13T00:00:00"/>
    <s v="Crest Retail"/>
    <x v="1"/>
    <x v="5"/>
    <s v="Accessories"/>
    <n v="2"/>
    <n v="3100"/>
    <n v="6200"/>
    <s v="Online"/>
    <s v="Anita"/>
    <s v="Crest Retail"/>
  </r>
  <r>
    <s v="O0034"/>
    <d v="2025-10-31T00:00:00"/>
    <s v="  Vertex Retail  "/>
    <x v="1"/>
    <x v="8"/>
    <s v="Electronics"/>
    <n v="1"/>
    <n v="14490"/>
    <n v="14490"/>
    <s v="Distributor"/>
    <s v="Priya"/>
    <s v="Vertex Retail"/>
  </r>
  <r>
    <s v="O0035"/>
    <d v="2025-01-22T00:00:00"/>
    <s v="Nova Solutions"/>
    <x v="0"/>
    <x v="3"/>
    <s v="Electronics"/>
    <n v="3"/>
    <n v="26180"/>
    <n v="78540"/>
    <s v="Retail Store"/>
    <s v="Vikram"/>
    <s v="Nova Solutions"/>
  </r>
  <r>
    <s v="O0036"/>
    <d v="2025-08-14T00:00:00"/>
    <s v="Alpha Traders"/>
    <x v="1"/>
    <x v="1"/>
    <s v="Accessories"/>
    <n v="6"/>
    <n v="920"/>
    <n v="5520"/>
    <s v="Distributor"/>
    <s v="Anita"/>
    <s v="Alpha Traders"/>
  </r>
  <r>
    <s v="O0037"/>
    <d v="2025-02-04T00:00:00"/>
    <s v="QuickBuy Pvt Ltd"/>
    <x v="1"/>
    <x v="8"/>
    <s v="Electronics"/>
    <n v="4"/>
    <n v="13990"/>
    <n v="55960"/>
    <s v="Online"/>
    <s v="Karan"/>
    <s v="QuickBuy Pvt Ltd"/>
  </r>
  <r>
    <s v="O0038"/>
    <d v="2025-04-09T00:00:00"/>
    <s v="Iconic Retail"/>
    <x v="2"/>
    <x v="5"/>
    <s v="Accessories"/>
    <n v="8"/>
    <n v="3410"/>
    <n v="27280"/>
    <s v="Online"/>
    <s v="Anita"/>
    <s v="Iconic Retail"/>
  </r>
  <r>
    <s v="O0039"/>
    <d v="2025-04-26T00:00:00"/>
    <s v="Alpha Traders"/>
    <x v="1"/>
    <x v="4"/>
    <s v="Office Equipment"/>
    <n v="3"/>
    <n v="13460"/>
    <n v="40380"/>
    <s v="Distributor"/>
    <s v="Rahul"/>
    <s v="Alpha Traders"/>
  </r>
  <r>
    <s v="O0040"/>
    <d v="2025-12-26T00:00:00"/>
    <s v="Nova Solutions"/>
    <x v="1"/>
    <x v="4"/>
    <s v="Office Equipment"/>
    <n v="8"/>
    <n v="12890"/>
    <n v="103120"/>
    <s v="Retail Store"/>
    <s v="Vikram"/>
    <s v="Nova Solutions"/>
  </r>
  <r>
    <s v="O0041"/>
    <d v="2025-09-30T00:00:00"/>
    <s v="Horizon Distributors"/>
    <x v="2"/>
    <x v="0"/>
    <s v="Accessories"/>
    <n v="2"/>
    <n v="1740"/>
    <n v="3480"/>
    <s v="Online"/>
    <s v="Priya"/>
    <s v="Horizon Distributors"/>
  </r>
  <r>
    <s v="O0042"/>
    <d v="2025-01-26T00:00:00"/>
    <s v="Crest Retail"/>
    <x v="0"/>
    <x v="9"/>
    <s v="Accessories"/>
    <n v="3"/>
    <n v="2130"/>
    <n v="6390"/>
    <s v="Online"/>
    <s v="Sneha"/>
    <s v="Crest Retail"/>
  </r>
  <r>
    <s v="O0043"/>
    <d v="2025-01-20T00:00:00"/>
    <s v="Alpha Traders"/>
    <x v="1"/>
    <x v="2"/>
    <s v="Electronics"/>
    <n v="1"/>
    <n v="53060"/>
    <n v="53060"/>
    <s v="Retail Store"/>
    <s v="Vikram"/>
    <s v="Alpha Traders"/>
  </r>
  <r>
    <s v="O0044"/>
    <d v="2025-11-18T00:00:00"/>
    <s v="Sunrise Enterprises"/>
    <x v="2"/>
    <x v="6"/>
    <s v="Furniture"/>
    <n v="2"/>
    <n v="11760"/>
    <n v="23520"/>
    <s v="Retail Store"/>
    <s v="Vikram"/>
    <s v="Sunrise Enterprises"/>
  </r>
  <r>
    <s v="O0045"/>
    <d v="2025-06-29T00:00:00"/>
    <s v="Jupiter Systems"/>
    <x v="0"/>
    <x v="0"/>
    <s v="Accessories"/>
    <n v="4"/>
    <n v="1660"/>
    <n v="6640"/>
    <s v="Distributor"/>
    <s v="Vikram"/>
    <s v="Jupiter Systems"/>
  </r>
  <r>
    <s v="O0046"/>
    <d v="2025-03-01T00:00:00"/>
    <s v="Lotus Enterprises"/>
    <x v="1"/>
    <x v="4"/>
    <s v="Office Equipment"/>
    <n v="2"/>
    <n v="13160"/>
    <n v="26320"/>
    <s v="Online"/>
    <s v="Karan"/>
    <s v="Lotus Enterprises"/>
  </r>
  <r>
    <s v="O0047"/>
    <d v="2025-12-21T00:00:00"/>
    <s v="Horizon Distributors"/>
    <x v="1"/>
    <x v="6"/>
    <s v="Furniture"/>
    <n v="2"/>
    <n v="11830"/>
    <n v="23660"/>
    <s v="Online"/>
    <s v="Rahul"/>
    <s v="Horizon Distributors"/>
  </r>
  <r>
    <s v="O0048"/>
    <d v="2025-11-15T00:00:00"/>
    <s v="Sunrise Enterprises"/>
    <x v="2"/>
    <x v="4"/>
    <s v="Office Equipment"/>
    <n v="2"/>
    <n v="13090"/>
    <n v="26180"/>
    <s v="Retail Store"/>
    <s v="Rahul"/>
    <s v="Sunrise Enterprises"/>
  </r>
  <r>
    <s v="O0049"/>
    <d v="2025-05-09T00:00:00"/>
    <s v="Alpha Traders"/>
    <x v="3"/>
    <x v="2"/>
    <s v="Electronics"/>
    <n v="10"/>
    <n v="54800"/>
    <n v="548000"/>
    <s v="Retail Store"/>
    <s v="Vikram"/>
    <s v="Alpha Traders"/>
  </r>
  <r>
    <s v="O0050"/>
    <d v="2025-09-29T00:00:00"/>
    <s v="Galaxy Tech"/>
    <x v="1"/>
    <x v="2"/>
    <s v="Electronics"/>
    <n v="2"/>
    <n v="55620"/>
    <n v="111240"/>
    <s v="Distributor"/>
    <s v="Sneha"/>
    <s v="Galaxy Tech"/>
  </r>
  <r>
    <s v="O0051"/>
    <d v="2025-05-24T00:00:00"/>
    <s v="Sunrise Enterprises"/>
    <x v="2"/>
    <x v="3"/>
    <s v="Electronics"/>
    <n v="3"/>
    <n v="26870"/>
    <n v="80610"/>
    <s v="Retail Store"/>
    <s v="Anita"/>
    <s v="Sunrise Enterprises"/>
  </r>
  <r>
    <s v="O0052"/>
    <d v="2025-04-04T00:00:00"/>
    <s v="Nova Solutions"/>
    <x v="0"/>
    <x v="0"/>
    <s v="Accessories"/>
    <n v="1"/>
    <n v="1680"/>
    <n v="1680"/>
    <s v="Online"/>
    <s v="Karan"/>
    <s v="Nova Solutions"/>
  </r>
  <r>
    <s v="O0053"/>
    <d v="2025-04-10T00:00:00"/>
    <s v="Alpha Traders"/>
    <x v="0"/>
    <x v="2"/>
    <s v="Electronics"/>
    <n v="5"/>
    <n v="54550"/>
    <n v="272750"/>
    <s v="Retail Store"/>
    <s v="Sneha"/>
    <s v="Alpha Traders"/>
  </r>
  <r>
    <s v="O0054"/>
    <d v="2025-10-17T00:00:00"/>
    <s v="Vertex Retail"/>
    <x v="3"/>
    <x v="1"/>
    <s v="Accessories"/>
    <n v="4"/>
    <n v="920"/>
    <n v="3680"/>
    <s v="Retail Store"/>
    <s v="Rahul"/>
    <s v="Vertex Retail"/>
  </r>
  <r>
    <s v="O0055"/>
    <d v="2025-01-04T00:00:00"/>
    <s v="Prime Distributors"/>
    <x v="1"/>
    <x v="5"/>
    <s v="Accessories"/>
    <n v="3"/>
    <n v="3220"/>
    <n v="9660"/>
    <s v="Distributor"/>
    <s v="Rahul"/>
    <s v="Prime Distributors"/>
  </r>
  <r>
    <s v="O0056"/>
    <d v="2025-06-01T00:00:00"/>
    <s v="Lotus Enterprises"/>
    <x v="0"/>
    <x v="2"/>
    <s v="Electronics"/>
    <n v="4"/>
    <n v="55660"/>
    <n v="222640"/>
    <s v="Distributor"/>
    <s v="Karan"/>
    <s v="Lotus Enterprises"/>
  </r>
  <r>
    <s v="O0057"/>
    <d v="2025-09-25T00:00:00"/>
    <s v="Crest Retail"/>
    <x v="2"/>
    <x v="2"/>
    <s v="Electronics"/>
    <n v="5"/>
    <n v="54670"/>
    <n v="273350"/>
    <s v="Online"/>
    <s v="Rahul"/>
    <s v="Crest Retail"/>
  </r>
  <r>
    <s v="O0058"/>
    <d v="2025-10-29T00:00:00"/>
    <s v="Bright Solutions"/>
    <x v="2"/>
    <x v="8"/>
    <s v="Electronics"/>
    <n v="2"/>
    <n v="13840"/>
    <n v="27680"/>
    <s v="Distributor"/>
    <s v="Rahul"/>
    <s v="Bright Solutions"/>
  </r>
  <r>
    <s v="O0059"/>
    <d v="2025-03-31T00:00:00"/>
    <s v="Bright Solutions"/>
    <x v="3"/>
    <x v="9"/>
    <s v="Accessories"/>
    <n v="1"/>
    <n v="2140"/>
    <n v="2140"/>
    <s v="Online"/>
    <s v="Karan"/>
    <s v="Bright Solutions"/>
  </r>
  <r>
    <s v="O0060"/>
    <d v="2025-08-05T00:00:00"/>
    <s v="Delta Enterprises"/>
    <x v="0"/>
    <x v="9"/>
    <s v="Accessories"/>
    <n v="2"/>
    <n v="2350"/>
    <n v="4700"/>
    <s v="Online"/>
    <s v="Anita"/>
    <s v="Delta Enterprises"/>
  </r>
  <r>
    <s v="O0061"/>
    <d v="2025-02-05T00:00:00"/>
    <s v="Royal Traders"/>
    <x v="2"/>
    <x v="3"/>
    <s v="Electronics"/>
    <n v="3"/>
    <n v="29040"/>
    <n v="87120"/>
    <s v="Distributor"/>
    <s v="Vikram"/>
    <s v="Royal Traders"/>
  </r>
  <r>
    <s v="O0062"/>
    <d v="2025-10-06T00:00:00"/>
    <s v="Crest Retail"/>
    <x v="2"/>
    <x v="3"/>
    <s v="Electronics"/>
    <n v="2"/>
    <n v="28810"/>
    <n v="57620"/>
    <s v="Retail Store"/>
    <s v="Anita"/>
    <s v="Crest Retail"/>
  </r>
  <r>
    <s v="O0063"/>
    <d v="2025-07-06T00:00:00"/>
    <s v="Sunrise Enterprises"/>
    <x v="2"/>
    <x v="4"/>
    <s v="Office Equipment"/>
    <n v="3"/>
    <n v="12280"/>
    <n v="36840"/>
    <s v="Online"/>
    <s v="Anita"/>
    <s v="Sunrise Enterprises"/>
  </r>
  <r>
    <s v="O0064"/>
    <d v="2025-08-11T00:00:00"/>
    <s v="Vertex Retail"/>
    <x v="3"/>
    <x v="6"/>
    <s v="Furniture"/>
    <n v="2"/>
    <n v="12880"/>
    <n v="25760"/>
    <s v="Retail Store"/>
    <s v="Sneha"/>
    <s v="Vertex Retail"/>
  </r>
  <r>
    <s v="O0065"/>
    <d v="2025-02-22T00:00:00"/>
    <s v="Prime Distributors"/>
    <x v="2"/>
    <x v="2"/>
    <s v="Electronics"/>
    <n v="4"/>
    <n v="52450"/>
    <n v="209800"/>
    <s v="Distributor"/>
    <s v="Sneha"/>
    <s v="Prime Distributors"/>
  </r>
  <r>
    <s v="O0066"/>
    <d v="2025-05-02T00:00:00"/>
    <s v="Evergreen Stores"/>
    <x v="3"/>
    <x v="5"/>
    <s v="Accessories"/>
    <n v="10"/>
    <n v="3450"/>
    <n v="34500"/>
    <s v="Distributor"/>
    <s v="Sneha"/>
    <s v="Evergreen Stores"/>
  </r>
  <r>
    <s v="O0067"/>
    <d v="2025-03-15T00:00:00"/>
    <s v="Lotus Enterprises"/>
    <x v="2"/>
    <x v="0"/>
    <s v="Accessories"/>
    <n v="1"/>
    <n v="1700"/>
    <n v="1700"/>
    <s v="Online"/>
    <s v="Vikram"/>
    <s v="Lotus Enterprises"/>
  </r>
  <r>
    <s v="O0068"/>
    <d v="2025-10-10T00:00:00"/>
    <s v="Bright Solutions"/>
    <x v="2"/>
    <x v="2"/>
    <s v="Electronics"/>
    <n v="4"/>
    <n v="48450"/>
    <n v="193800"/>
    <s v="Online"/>
    <s v="Sneha"/>
    <s v="Bright Solutions"/>
  </r>
  <r>
    <s v="O0069"/>
    <d v="2025-12-08T00:00:00"/>
    <s v="Vertex Retail"/>
    <x v="2"/>
    <x v="8"/>
    <s v="Electronics"/>
    <n v="4"/>
    <n v="15340"/>
    <n v="61360"/>
    <s v="Distributor"/>
    <s v="Anita"/>
    <s v="Vertex Retail"/>
  </r>
  <r>
    <s v="O0070"/>
    <d v="2025-10-02T00:00:00"/>
    <s v="Lotus Enterprises"/>
    <x v="0"/>
    <x v="3"/>
    <s v="Electronics"/>
    <n v="2"/>
    <n v="28930"/>
    <n v="57860"/>
    <s v="Distributor"/>
    <s v="Priya"/>
    <s v="Lotus Enterprises"/>
  </r>
  <r>
    <s v="O0071"/>
    <d v="2025-06-22T00:00:00"/>
    <s v="Metro Mart"/>
    <x v="0"/>
    <x v="8"/>
    <s v="Electronics"/>
    <n v="2"/>
    <n v="14350"/>
    <n v="28700"/>
    <s v="Retail Store"/>
    <s v="Rahul"/>
    <s v="Metro Mart"/>
  </r>
  <r>
    <s v="O0072"/>
    <d v="2025-01-01T00:00:00"/>
    <s v="Crest Retail"/>
    <x v="2"/>
    <x v="9"/>
    <s v="Accessories"/>
    <n v="5"/>
    <n v="2310"/>
    <n v="11550"/>
    <s v="Retail Store"/>
    <s v="Anita"/>
    <s v="Crest Retail"/>
  </r>
  <r>
    <s v="O0073"/>
    <d v="2025-04-27T00:00:00"/>
    <s v="Future Mart"/>
    <x v="0"/>
    <x v="0"/>
    <s v="Accessories"/>
    <n v="2"/>
    <n v="1910"/>
    <n v="3820"/>
    <s v="Online"/>
    <s v="Sneha"/>
    <s v="Future Mart"/>
  </r>
  <r>
    <s v="O0074"/>
    <d v="2025-07-22T00:00:00"/>
    <s v="Evergreen Stores"/>
    <x v="4"/>
    <x v="2"/>
    <s v="Electronics"/>
    <n v="6"/>
    <n v="52230"/>
    <n v="313380"/>
    <s v="Distributor"/>
    <s v="Priya"/>
    <s v="Evergreen Stores"/>
  </r>
  <r>
    <s v="O0075"/>
    <d v="2025-01-14T00:00:00"/>
    <s v="Orbit Retail"/>
    <x v="3"/>
    <x v="5"/>
    <s v="Accessories"/>
    <n v="3"/>
    <n v="3270"/>
    <n v="9810"/>
    <s v="Online"/>
    <s v="Sneha"/>
    <s v="Orbit Retail"/>
  </r>
  <r>
    <s v="O0076"/>
    <d v="2025-01-12T00:00:00"/>
    <s v="Jupiter Systems"/>
    <x v="1"/>
    <x v="9"/>
    <s v="Accessories"/>
    <n v="2"/>
    <n v="2280"/>
    <n v="4560"/>
    <s v="Retail Store"/>
    <s v="Karan"/>
    <s v="Jupiter Systems"/>
  </r>
  <r>
    <s v="O0077"/>
    <d v="2025-06-13T00:00:00"/>
    <s v="Horizon Distributors"/>
    <x v="0"/>
    <x v="2"/>
    <s v="Electronics"/>
    <n v="2"/>
    <n v="49250"/>
    <n v="98500"/>
    <s v="Retail Store"/>
    <s v="Karan"/>
    <s v="Horizon Distributors"/>
  </r>
  <r>
    <s v="O0078"/>
    <d v="2025-05-25T00:00:00"/>
    <s v="Iconic Retail"/>
    <x v="2"/>
    <x v="2"/>
    <s v="Electronics"/>
    <n v="10"/>
    <n v="56050"/>
    <n v="560500"/>
    <s v="Online"/>
    <s v="Karan"/>
    <s v="Iconic Retail"/>
  </r>
  <r>
    <s v="O0079"/>
    <d v="2025-02-04T00:00:00"/>
    <s v="Future Mart"/>
    <x v="0"/>
    <x v="3"/>
    <s v="Electronics"/>
    <n v="2"/>
    <n v="26360"/>
    <n v="52720"/>
    <s v="Distributor"/>
    <s v="Sneha"/>
    <s v="Future Mart"/>
  </r>
  <r>
    <s v="O0080"/>
    <d v="2025-08-30T00:00:00"/>
    <s v="Metro Mart"/>
    <x v="2"/>
    <x v="3"/>
    <s v="Electronics"/>
    <n v="3"/>
    <n v="29940"/>
    <n v="89820"/>
    <s v="Distributor"/>
    <s v="Anita"/>
    <s v="Metro Mart"/>
  </r>
  <r>
    <s v="O0081"/>
    <d v="2025-09-24T00:00:00"/>
    <s v="QuickBuy Pvt Ltd"/>
    <x v="2"/>
    <x v="7"/>
    <s v="Furniture"/>
    <n v="3"/>
    <n v="9160"/>
    <n v="27480"/>
    <s v="Online"/>
    <s v="Rahul"/>
    <s v="QuickBuy Pvt Ltd"/>
  </r>
  <r>
    <s v="O0082"/>
    <d v="2025-11-07T00:00:00"/>
    <s v="Future Mart"/>
    <x v="1"/>
    <x v="2"/>
    <s v="Electronics"/>
    <n v="1"/>
    <n v="47950"/>
    <n v="47950"/>
    <s v="Online"/>
    <s v="Sneha"/>
    <s v="Future Mart"/>
  </r>
  <r>
    <s v="O0083"/>
    <d v="2025-02-22T00:00:00"/>
    <s v="Evergreen Stores"/>
    <x v="0"/>
    <x v="5"/>
    <s v="Accessories"/>
    <n v="10"/>
    <n v="3230"/>
    <n v="32300"/>
    <s v="Retail Store"/>
    <s v="Priya"/>
    <s v="Evergreen Stores"/>
  </r>
  <r>
    <s v="O0084"/>
    <d v="2025-02-20T00:00:00"/>
    <s v="Metro Mart"/>
    <x v="2"/>
    <x v="8"/>
    <s v="Electronics"/>
    <n v="3"/>
    <n v="13640"/>
    <n v="40920"/>
    <s v="Retail Store"/>
    <s v="Anita"/>
    <s v="Metro Mart"/>
  </r>
  <r>
    <s v="O0085"/>
    <d v="2025-03-13T00:00:00"/>
    <s v="Galaxy Tech"/>
    <x v="0"/>
    <x v="9"/>
    <s v="Accessories"/>
    <n v="4"/>
    <n v="2150"/>
    <n v="8600"/>
    <s v="Retail Store"/>
    <s v="Rahul"/>
    <s v="Galaxy Tech"/>
  </r>
  <r>
    <s v="O0086"/>
    <d v="2025-02-23T00:00:00"/>
    <s v="Lotus Enterprises"/>
    <x v="2"/>
    <x v="1"/>
    <s v="Accessories"/>
    <n v="6"/>
    <n v="870"/>
    <n v="5220"/>
    <s v="Retail Store"/>
    <s v="Vikram"/>
    <s v="Lotus Enterprises"/>
  </r>
  <r>
    <s v="O0087"/>
    <d v="2025-07-26T00:00:00"/>
    <s v="Evergreen Stores"/>
    <x v="2"/>
    <x v="7"/>
    <s v="Furniture"/>
    <n v="4"/>
    <n v="8470"/>
    <n v="33880"/>
    <s v="Retail Store"/>
    <s v="Rahul"/>
    <s v="Evergreen Stores"/>
  </r>
  <r>
    <s v="O0088"/>
    <d v="2025-08-14T00:00:00"/>
    <s v="Future Mart"/>
    <x v="0"/>
    <x v="7"/>
    <s v="Furniture"/>
    <n v="6"/>
    <n v="8660"/>
    <n v="51960"/>
    <s v="Retail Store"/>
    <s v="Rahul"/>
    <s v="Future Mart"/>
  </r>
  <r>
    <s v="O0089"/>
    <d v="2025-11-04T00:00:00"/>
    <s v="Future Mart"/>
    <x v="2"/>
    <x v="1"/>
    <s v="Accessories"/>
    <n v="3"/>
    <n v="960"/>
    <n v="2880"/>
    <s v="Distributor"/>
    <s v="Karan"/>
    <s v="Future Mart"/>
  </r>
  <r>
    <s v="O0090"/>
    <d v="2025-10-12T00:00:00"/>
    <s v="Delta Enterprises"/>
    <x v="3"/>
    <x v="0"/>
    <s v="Accessories"/>
    <n v="3"/>
    <n v="1860"/>
    <n v="5580"/>
    <s v="Online"/>
    <s v="Rahul"/>
    <s v="Delta Enterprises"/>
  </r>
  <r>
    <s v="O0091"/>
    <d v="2025-09-19T00:00:00"/>
    <s v="Bright Solutions"/>
    <x v="2"/>
    <x v="7"/>
    <s v="Furniture"/>
    <n v="1"/>
    <n v="7880"/>
    <n v="7880"/>
    <s v="Retail Store"/>
    <s v="Priya"/>
    <s v="Bright Solutions"/>
  </r>
  <r>
    <s v="O0092"/>
    <d v="2025-05-31T00:00:00"/>
    <s v="Prime Distributors"/>
    <x v="3"/>
    <x v="3"/>
    <s v="Electronics"/>
    <n v="2"/>
    <n v="28170"/>
    <n v="56340"/>
    <s v="Distributor"/>
    <s v="Vikram"/>
    <s v="Prime Distributors"/>
  </r>
  <r>
    <s v="O0093"/>
    <d v="2025-10-08T00:00:00"/>
    <s v="Crest Retail"/>
    <x v="1"/>
    <x v="9"/>
    <s v="Accessories"/>
    <n v="2"/>
    <n v="2270"/>
    <n v="4540"/>
    <s v="Distributor"/>
    <s v="Priya"/>
    <s v="Crest Retail"/>
  </r>
  <r>
    <s v="O0094"/>
    <d v="2025-10-04T00:00:00"/>
    <s v="Evergreen Stores"/>
    <x v="0"/>
    <x v="9"/>
    <s v="Accessories"/>
    <n v="1"/>
    <n v="2090"/>
    <n v="2090"/>
    <s v="Retail Store"/>
    <s v="Sneha"/>
    <s v="Evergreen Stores"/>
  </r>
  <r>
    <s v="O0095"/>
    <d v="2025-01-12T00:00:00"/>
    <s v="Nova Solutions"/>
    <x v="0"/>
    <x v="2"/>
    <s v="Electronics"/>
    <n v="3"/>
    <n v="52290"/>
    <n v="156870"/>
    <s v="Online"/>
    <s v="Vikram"/>
    <s v="Nova Solutions"/>
  </r>
  <r>
    <s v="O0096"/>
    <d v="2025-02-16T00:00:00"/>
    <s v="Orbit Retail"/>
    <x v="1"/>
    <x v="0"/>
    <s v="Accessories"/>
    <n v="2"/>
    <n v="1680"/>
    <n v="3360"/>
    <s v="Retail Store"/>
    <s v="Priya"/>
    <s v="Orbit Retail"/>
  </r>
  <r>
    <s v="O0097"/>
    <d v="2025-09-14T00:00:00"/>
    <s v="Horizon Distributors"/>
    <x v="2"/>
    <x v="5"/>
    <s v="Accessories"/>
    <n v="1"/>
    <n v="3090"/>
    <n v="3090"/>
    <s v="Distributor"/>
    <s v="Sneha"/>
    <s v="Horizon Distributors"/>
  </r>
  <r>
    <s v="O0098"/>
    <d v="2025-01-14T00:00:00"/>
    <s v="Nova Solutions"/>
    <x v="1"/>
    <x v="5"/>
    <s v="Accessories"/>
    <n v="3"/>
    <n v="3420"/>
    <n v="10260"/>
    <s v="Retail Store"/>
    <s v="Sneha"/>
    <s v="Nova Solutions"/>
  </r>
  <r>
    <s v="O0099"/>
    <d v="2025-01-03T00:00:00"/>
    <s v="Orbit Retail"/>
    <x v="3"/>
    <x v="2"/>
    <s v="Electronics"/>
    <n v="1"/>
    <n v="48950"/>
    <n v="48950"/>
    <s v="Retail Store"/>
    <s v="Priya"/>
    <s v="Orbit Retail"/>
  </r>
  <r>
    <s v="O0100"/>
    <d v="2025-08-15T00:00:00"/>
    <s v="Sunrise Enterprises"/>
    <x v="3"/>
    <x v="4"/>
    <s v="Office Equipment"/>
    <n v="1"/>
    <n v="12390"/>
    <n v="12390"/>
    <s v="Online"/>
    <s v="Sneha"/>
    <s v="Sunrise Enterprises"/>
  </r>
  <r>
    <s v="O0101"/>
    <d v="2025-03-27T00:00:00"/>
    <s v="Lotus Enterprises"/>
    <x v="2"/>
    <x v="8"/>
    <s v="Electronics"/>
    <n v="3"/>
    <n v="15290"/>
    <n v="45870"/>
    <s v="Online"/>
    <s v="Sneha"/>
    <s v="Lotus Enterprises"/>
  </r>
  <r>
    <s v="O0102"/>
    <d v="2025-04-19T00:00:00"/>
    <s v="Royal Traders"/>
    <x v="3"/>
    <x v="3"/>
    <s v="Electronics"/>
    <n v="4"/>
    <n v="29300"/>
    <n v="117200"/>
    <s v="Distributor"/>
    <s v="Vikram"/>
    <s v="Royal Traders"/>
  </r>
  <r>
    <s v="O0103"/>
    <d v="2025-03-24T00:00:00"/>
    <s v="Jupiter Systems"/>
    <x v="2"/>
    <x v="3"/>
    <s v="Electronics"/>
    <n v="5"/>
    <n v="27690"/>
    <n v="138450"/>
    <s v="Online"/>
    <s v="Vikram"/>
    <s v="Jupiter Systems"/>
  </r>
  <r>
    <s v="O0104"/>
    <d v="2025-11-11T00:00:00"/>
    <s v="Metro Mart"/>
    <x v="0"/>
    <x v="6"/>
    <s v="Furniture"/>
    <n v="4"/>
    <n v="11510"/>
    <n v="46040"/>
    <s v="Online"/>
    <s v="Anita"/>
    <s v="Metro Mart"/>
  </r>
  <r>
    <s v="O0105"/>
    <d v="2025-04-22T00:00:00"/>
    <s v="Delta Enterprises"/>
    <x v="0"/>
    <x v="8"/>
    <s v="Electronics"/>
    <n v="1"/>
    <n v="13690"/>
    <n v="13690"/>
    <s v="Distributor"/>
    <s v="Vikram"/>
    <s v="Delta Enterprises"/>
  </r>
  <r>
    <s v="O0106"/>
    <d v="2025-09-04T00:00:00"/>
    <s v="Crest Retail"/>
    <x v="3"/>
    <x v="0"/>
    <s v="Accessories"/>
    <n v="1"/>
    <n v="1910"/>
    <n v="1910"/>
    <s v="Distributor"/>
    <s v="Sneha"/>
    <s v="Crest Retail"/>
  </r>
  <r>
    <s v="O0107"/>
    <d v="2025-08-08T00:00:00"/>
    <s v="Kaveri Stores"/>
    <x v="1"/>
    <x v="5"/>
    <s v="Accessories"/>
    <n v="1"/>
    <n v="3150"/>
    <n v="3150"/>
    <s v="Distributor"/>
    <s v="Vikram"/>
    <s v="Kaveri Stores"/>
  </r>
  <r>
    <s v="O0108"/>
    <d v="2025-03-03T00:00:00"/>
    <s v="Bright Solutions"/>
    <x v="3"/>
    <x v="5"/>
    <s v="Accessories"/>
    <n v="3"/>
    <n v="3310"/>
    <n v="9930"/>
    <s v="Distributor"/>
    <s v="Rahul"/>
    <s v="Bright Solutions"/>
  </r>
  <r>
    <s v="O0109"/>
    <d v="2025-04-28T00:00:00"/>
    <s v="Delta Enterprises"/>
    <x v="3"/>
    <x v="0"/>
    <s v="Accessories"/>
    <n v="5"/>
    <n v="1710"/>
    <n v="8550"/>
    <s v="Online"/>
    <s v="Karan"/>
    <s v="Delta Enterprises"/>
  </r>
  <r>
    <s v="O0110"/>
    <d v="2025-11-16T00:00:00"/>
    <s v="Future Mart"/>
    <x v="2"/>
    <x v="8"/>
    <s v="Electronics"/>
    <n v="1"/>
    <n v="14760"/>
    <n v="14760"/>
    <s v="Retail Store"/>
    <s v="Priya"/>
    <s v="Future Mart"/>
  </r>
  <r>
    <s v="O0111"/>
    <d v="2025-06-27T00:00:00"/>
    <s v="Jupiter Systems"/>
    <x v="2"/>
    <x v="5"/>
    <s v="Accessories"/>
    <n v="2"/>
    <n v="3250"/>
    <n v="6500"/>
    <s v="Distributor"/>
    <s v="Rahul"/>
    <s v="Jupiter Systems"/>
  </r>
  <r>
    <s v="O0112"/>
    <d v="2025-11-17T00:00:00"/>
    <s v="  Evergreen Stores  "/>
    <x v="2"/>
    <x v="5"/>
    <s v="Accessories"/>
    <n v="2"/>
    <n v="3360"/>
    <n v="6720"/>
    <s v="Online"/>
    <s v="Anita"/>
    <s v="Evergreen Stores"/>
  </r>
  <r>
    <s v="O0113"/>
    <d v="2025-04-04T00:00:00"/>
    <s v="QuickBuy Pvt Ltd"/>
    <x v="2"/>
    <x v="3"/>
    <s v="Electronics"/>
    <n v="3"/>
    <n v="27610"/>
    <n v="82830"/>
    <s v="Retail Store"/>
    <s v="Karan"/>
    <s v="QuickBuy Pvt Ltd"/>
  </r>
  <r>
    <s v="O0114"/>
    <d v="2025-05-17T00:00:00"/>
    <s v="Bright Solutions"/>
    <x v="1"/>
    <x v="5"/>
    <s v="Accessories"/>
    <n v="1"/>
    <n v="3320"/>
    <n v="3320"/>
    <s v="Distributor"/>
    <s v="Priya"/>
    <s v="Bright Solutions"/>
  </r>
  <r>
    <s v="O0115"/>
    <d v="2025-12-15T00:00:00"/>
    <s v="Horizon Distributors"/>
    <x v="3"/>
    <x v="5"/>
    <s v="Accessories"/>
    <n v="4"/>
    <n v="2970"/>
    <n v="11880"/>
    <s v="Online"/>
    <s v="Sneha"/>
    <s v="Horizon Distributors"/>
  </r>
  <r>
    <s v="O0116"/>
    <d v="2025-01-05T00:00:00"/>
    <s v="Sunrise Enterprises"/>
    <x v="3"/>
    <x v="8"/>
    <s v="Electronics"/>
    <n v="1"/>
    <n v="13720"/>
    <n v="13720"/>
    <s v="Retail Store"/>
    <s v="Rahul"/>
    <s v="Sunrise Enterprises"/>
  </r>
  <r>
    <s v="O0117"/>
    <d v="2025-10-23T00:00:00"/>
    <s v="Horizon Distributors"/>
    <x v="3"/>
    <x v="6"/>
    <s v="Furniture"/>
    <n v="2"/>
    <n v="12170"/>
    <n v="24340"/>
    <s v="Retail Store"/>
    <s v="Priya"/>
    <s v="Horizon Distributors"/>
  </r>
  <r>
    <s v="O0118"/>
    <d v="2025-06-02T00:00:00"/>
    <s v="QuickBuy Pvt Ltd"/>
    <x v="2"/>
    <x v="3"/>
    <s v="Electronics"/>
    <n v="3"/>
    <n v="27730"/>
    <n v="83190"/>
    <s v="Distributor"/>
    <s v="Rahul"/>
    <s v="QuickBuy Pvt Ltd"/>
  </r>
  <r>
    <s v="O0119"/>
    <d v="2025-07-17T00:00:00"/>
    <s v="Future Mart"/>
    <x v="3"/>
    <x v="4"/>
    <s v="Office Equipment"/>
    <n v="6"/>
    <n v="12750"/>
    <n v="76500"/>
    <s v="Distributor"/>
    <s v="Priya"/>
    <s v="Future Mart"/>
  </r>
  <r>
    <s v="O0120"/>
    <d v="2025-06-06T00:00:00"/>
    <s v="Alpha Traders"/>
    <x v="1"/>
    <x v="0"/>
    <s v="Accessories"/>
    <n v="1"/>
    <n v="1880"/>
    <n v="1880"/>
    <s v="Retail Store"/>
    <s v="Priya"/>
    <s v="Alpha Traders"/>
  </r>
  <r>
    <s v="O0121"/>
    <d v="2025-10-16T00:00:00"/>
    <s v="Delta Enterprises"/>
    <x v="0"/>
    <x v="7"/>
    <s v="Furniture"/>
    <n v="1"/>
    <n v="8240"/>
    <n v="8240"/>
    <s v="Retail Store"/>
    <s v="Rahul"/>
    <s v="Delta Enterprises"/>
  </r>
  <r>
    <s v="O0122"/>
    <d v="2025-06-08T00:00:00"/>
    <s v="Orbit Retail"/>
    <x v="1"/>
    <x v="4"/>
    <s v="Office Equipment"/>
    <n v="5"/>
    <n v="11710"/>
    <n v="58550"/>
    <s v="Online"/>
    <s v="Karan"/>
    <s v="Orbit Retail"/>
  </r>
  <r>
    <s v="O0123"/>
    <d v="2025-02-16T00:00:00"/>
    <s v="Delta Enterprises"/>
    <x v="1"/>
    <x v="1"/>
    <s v="Accessories"/>
    <n v="5"/>
    <n v="850"/>
    <n v="4250"/>
    <s v="Online"/>
    <s v="Rahul"/>
    <s v="Delta Enterprises"/>
  </r>
  <r>
    <s v="O0124"/>
    <d v="2025-10-09T00:00:00"/>
    <s v="Kaveri Stores"/>
    <x v="3"/>
    <x v="2"/>
    <s v="Electronics"/>
    <n v="4"/>
    <n v="52550"/>
    <n v="210200"/>
    <s v="Online"/>
    <s v="Karan"/>
    <s v="Kaveri Stores"/>
  </r>
  <r>
    <s v="O0125"/>
    <d v="2025-07-19T00:00:00"/>
    <s v="Orbit Retail"/>
    <x v="0"/>
    <x v="8"/>
    <s v="Electronics"/>
    <n v="6"/>
    <n v="14690"/>
    <n v="88140"/>
    <s v="Retail Store"/>
    <s v="Priya"/>
    <s v="Orbit Retail"/>
  </r>
  <r>
    <s v="O0126"/>
    <d v="2025-04-21T00:00:00"/>
    <s v="Horizon Distributors"/>
    <x v="1"/>
    <x v="8"/>
    <s v="Electronics"/>
    <n v="4"/>
    <n v="14510"/>
    <n v="58040"/>
    <s v="Distributor"/>
    <s v="Karan"/>
    <s v="Horizon Distributors"/>
  </r>
  <r>
    <s v="O0127"/>
    <d v="2025-10-20T00:00:00"/>
    <s v="Horizon Distributors"/>
    <x v="3"/>
    <x v="2"/>
    <s v="Electronics"/>
    <n v="8"/>
    <n v="54410"/>
    <n v="435280"/>
    <s v="Retail Store"/>
    <s v="Anita"/>
    <s v="Horizon Distributors"/>
  </r>
  <r>
    <s v="O0128"/>
    <d v="2025-01-29T00:00:00"/>
    <s v="Nova Solutions"/>
    <x v="1"/>
    <x v="3"/>
    <s v="Electronics"/>
    <n v="4"/>
    <n v="27660"/>
    <n v="110640"/>
    <s v="Online"/>
    <s v="Vikram"/>
    <s v="Nova Solutions"/>
  </r>
  <r>
    <s v="O0129"/>
    <d v="2025-12-12T00:00:00"/>
    <s v="Nova Solutions"/>
    <x v="1"/>
    <x v="5"/>
    <s v="Accessories"/>
    <n v="1"/>
    <n v="3060"/>
    <n v="3060"/>
    <s v="Retail Store"/>
    <s v="Anita"/>
    <s v="Nova Solutions"/>
  </r>
  <r>
    <s v="O0130"/>
    <d v="2025-05-29T00:00:00"/>
    <s v="Orbit Retail"/>
    <x v="2"/>
    <x v="0"/>
    <s v="Accessories"/>
    <n v="2"/>
    <n v="1720"/>
    <n v="3440"/>
    <s v="Online"/>
    <s v="Anita"/>
    <s v="Orbit Retail"/>
  </r>
  <r>
    <s v="O0131"/>
    <d v="2025-10-18T00:00:00"/>
    <s v="Vertex Retail"/>
    <x v="2"/>
    <x v="8"/>
    <s v="Electronics"/>
    <n v="5"/>
    <n v="14740"/>
    <n v="73700"/>
    <s v="Retail Store"/>
    <s v="Priya"/>
    <s v="Vertex Retail"/>
  </r>
  <r>
    <s v="O0132"/>
    <d v="2025-12-13T00:00:00"/>
    <s v="QuickBuy Pvt Ltd"/>
    <x v="1"/>
    <x v="5"/>
    <s v="Accessories"/>
    <n v="3"/>
    <n v="3190"/>
    <n v="9570"/>
    <s v="Distributor"/>
    <s v="Priya"/>
    <s v="QuickBuy Pvt Ltd"/>
  </r>
  <r>
    <s v="O0133"/>
    <d v="2025-06-29T00:00:00"/>
    <s v="Future Mart"/>
    <x v="2"/>
    <x v="1"/>
    <s v="Accessories"/>
    <n v="1"/>
    <n v="850"/>
    <n v="850"/>
    <s v="Online"/>
    <s v="Anita"/>
    <s v="Future Mart"/>
  </r>
  <r>
    <s v="O0134"/>
    <d v="2025-02-18T00:00:00"/>
    <s v="Galaxy Tech"/>
    <x v="2"/>
    <x v="7"/>
    <s v="Furniture"/>
    <n v="2"/>
    <n v="8120"/>
    <n v="16240"/>
    <s v="Online"/>
    <s v="Anita"/>
    <s v="Galaxy Tech"/>
  </r>
  <r>
    <s v="O0135"/>
    <d v="2025-12-26T00:00:00"/>
    <s v="QuickBuy Pvt Ltd"/>
    <x v="3"/>
    <x v="4"/>
    <s v="Office Equipment"/>
    <n v="6"/>
    <n v="12570"/>
    <n v="75420"/>
    <s v="Online"/>
    <s v="Sneha"/>
    <s v="QuickBuy Pvt Ltd"/>
  </r>
  <r>
    <s v="O0136"/>
    <d v="2025-11-14T00:00:00"/>
    <s v="QuickBuy Pvt Ltd"/>
    <x v="2"/>
    <x v="1"/>
    <s v="Accessories"/>
    <n v="3"/>
    <n v="940"/>
    <n v="2820"/>
    <s v="Online"/>
    <s v="Vikram"/>
    <s v="QuickBuy Pvt Ltd"/>
  </r>
  <r>
    <s v="O0137"/>
    <d v="2025-06-24T00:00:00"/>
    <s v="Royal Traders"/>
    <x v="0"/>
    <x v="7"/>
    <s v="Furniture"/>
    <n v="4"/>
    <n v="8220"/>
    <n v="32880"/>
    <s v="Retail Store"/>
    <s v="Karan"/>
    <s v="Royal Traders"/>
  </r>
  <r>
    <s v="O0138"/>
    <d v="2025-05-12T00:00:00"/>
    <s v="Alpha Traders"/>
    <x v="1"/>
    <x v="4"/>
    <s v="Office Equipment"/>
    <n v="3"/>
    <n v="13030"/>
    <n v="39090"/>
    <s v="Online"/>
    <s v="Priya"/>
    <s v="Alpha Traders"/>
  </r>
  <r>
    <s v="O0139"/>
    <d v="2025-03-28T00:00:00"/>
    <s v="Royal Traders"/>
    <x v="3"/>
    <x v="0"/>
    <s v="Accessories"/>
    <n v="2"/>
    <n v="1840"/>
    <n v="3680"/>
    <s v="Online"/>
    <s v="Anita"/>
    <s v="Royal Traders"/>
  </r>
  <r>
    <s v="O0140"/>
    <d v="2025-09-12T00:00:00"/>
    <s v="Horizon Distributors"/>
    <x v="0"/>
    <x v="4"/>
    <s v="Office Equipment"/>
    <n v="2"/>
    <n v="11890"/>
    <n v="23780"/>
    <s v="Online"/>
    <s v="Sneha"/>
    <s v="Horizon Distributors"/>
  </r>
  <r>
    <s v="O0141"/>
    <d v="2025-10-18T00:00:00"/>
    <s v="Nova Solutions"/>
    <x v="1"/>
    <x v="8"/>
    <s v="Electronics"/>
    <n v="4"/>
    <n v="13890"/>
    <n v="55560"/>
    <s v="Retail Store"/>
    <s v="Priya"/>
    <s v="Nova Solutions"/>
  </r>
  <r>
    <s v="O0142"/>
    <d v="2025-08-11T00:00:00"/>
    <s v="Prime Distributors"/>
    <x v="0"/>
    <x v="5"/>
    <s v="Accessories"/>
    <n v="8"/>
    <n v="3020"/>
    <n v="24160"/>
    <s v="Distributor"/>
    <s v="Rahul"/>
    <s v="Prime Distributors"/>
  </r>
  <r>
    <s v="O0143"/>
    <d v="2025-02-05T00:00:00"/>
    <s v="Unknown"/>
    <x v="0"/>
    <x v="2"/>
    <s v="Electronics"/>
    <n v="2"/>
    <n v="48060"/>
    <n v="96120"/>
    <s v="Online"/>
    <s v="Sneha"/>
    <s v="Unknown"/>
  </r>
  <r>
    <s v="O0144"/>
    <d v="2025-04-29T00:00:00"/>
    <s v="Lotus Enterprises"/>
    <x v="1"/>
    <x v="0"/>
    <s v="Accessories"/>
    <n v="2"/>
    <n v="1770"/>
    <n v="3540"/>
    <s v="Online"/>
    <s v="Sneha"/>
    <s v="Lotus Enterprises"/>
  </r>
  <r>
    <s v="O0145"/>
    <d v="2025-12-21T00:00:00"/>
    <s v="Vertex Retail"/>
    <x v="0"/>
    <x v="1"/>
    <s v="Accessories"/>
    <n v="3"/>
    <n v="890"/>
    <n v="2670"/>
    <s v="Retail Store"/>
    <s v="Karan"/>
    <s v="Vertex Retail"/>
  </r>
  <r>
    <s v="O0146"/>
    <d v="2025-08-03T00:00:00"/>
    <s v="QuickBuy Pvt Ltd"/>
    <x v="0"/>
    <x v="8"/>
    <s v="Electronics"/>
    <n v="6"/>
    <n v="14470"/>
    <n v="86820"/>
    <s v="Distributor"/>
    <s v="Anita"/>
    <s v="QuickBuy Pvt Ltd"/>
  </r>
  <r>
    <s v="O0147"/>
    <d v="2025-12-25T00:00:00"/>
    <s v="Iconic Retail"/>
    <x v="0"/>
    <x v="0"/>
    <s v="Accessories"/>
    <n v="3"/>
    <n v="1840"/>
    <n v="5520"/>
    <s v="Retail Store"/>
    <s v="Priya"/>
    <s v="Iconic Retail"/>
  </r>
  <r>
    <s v="O0148"/>
    <d v="2025-04-08T00:00:00"/>
    <s v="Evergreen Stores"/>
    <x v="3"/>
    <x v="1"/>
    <s v="Accessories"/>
    <n v="1"/>
    <n v="960"/>
    <n v="960"/>
    <s v="Retail Store"/>
    <s v="Rahul"/>
    <s v="Evergreen Stores"/>
  </r>
  <r>
    <s v="O0149"/>
    <d v="2025-02-03T00:00:00"/>
    <s v="QuickBuy Pvt Ltd"/>
    <x v="2"/>
    <x v="4"/>
    <s v="Office Equipment"/>
    <n v="5"/>
    <n v="12500"/>
    <n v="62500"/>
    <s v="Online"/>
    <s v="Vikram"/>
    <s v="QuickBuy Pvt Ltd"/>
  </r>
  <r>
    <s v="O0150"/>
    <d v="2025-01-27T00:00:00"/>
    <s v="Future Mart"/>
    <x v="3"/>
    <x v="7"/>
    <s v="Furniture"/>
    <n v="2"/>
    <n v="7830"/>
    <n v="15660"/>
    <s v="Retail Store"/>
    <s v="Karan"/>
    <s v="Future Mart"/>
  </r>
  <r>
    <s v="O0151"/>
    <d v="2025-07-09T00:00:00"/>
    <s v="Nova Solutions"/>
    <x v="1"/>
    <x v="3"/>
    <s v="Electronics"/>
    <n v="3"/>
    <n v="28330"/>
    <n v="84990"/>
    <s v="Retail Store"/>
    <s v="Karan"/>
    <s v="Nova Solutions"/>
  </r>
  <r>
    <s v="O0152"/>
    <d v="2025-10-09T00:00:00"/>
    <s v="Kaveri Stores"/>
    <x v="1"/>
    <x v="5"/>
    <s v="Accessories"/>
    <n v="2"/>
    <n v="2990"/>
    <n v="5980"/>
    <s v="Distributor"/>
    <s v="Karan"/>
    <s v="Kaveri Stores"/>
  </r>
  <r>
    <s v="O0153"/>
    <d v="2025-04-08T00:00:00"/>
    <s v="Orbit Retail"/>
    <x v="1"/>
    <x v="9"/>
    <s v="Accessories"/>
    <n v="2"/>
    <n v="2220"/>
    <n v="4440"/>
    <s v="Retail Store"/>
    <s v="Vikram"/>
    <s v="Orbit Retail"/>
  </r>
  <r>
    <s v="O0154"/>
    <d v="2025-05-28T00:00:00"/>
    <s v="Sunrise Enterprises"/>
    <x v="3"/>
    <x v="9"/>
    <s v="Accessories"/>
    <n v="2"/>
    <n v="2030"/>
    <n v="4060"/>
    <s v="Distributor"/>
    <s v="Anita"/>
    <s v="Sunrise Enterprises"/>
  </r>
  <r>
    <s v="O0155"/>
    <d v="2025-06-03T00:00:00"/>
    <s v="Bright Solutions"/>
    <x v="2"/>
    <x v="4"/>
    <s v="Office Equipment"/>
    <n v="4"/>
    <n v="12170"/>
    <n v="48680"/>
    <s v="Online"/>
    <s v="Anita"/>
    <s v="Bright Solutions"/>
  </r>
  <r>
    <s v="O0156"/>
    <d v="2025-04-14T00:00:00"/>
    <s v="Jupiter Systems"/>
    <x v="1"/>
    <x v="0"/>
    <s v="Accessories"/>
    <n v="3"/>
    <n v="1860"/>
    <n v="5580"/>
    <s v="Distributor"/>
    <s v="Priya"/>
    <s v="Jupiter Systems"/>
  </r>
  <r>
    <s v="O0157"/>
    <d v="2025-04-12T00:00:00"/>
    <s v="Bright Solutions"/>
    <x v="1"/>
    <x v="7"/>
    <s v="Furniture"/>
    <n v="5"/>
    <n v="8760"/>
    <n v="43800"/>
    <s v="Distributor"/>
    <s v="Sneha"/>
    <s v="Bright Solutions"/>
  </r>
  <r>
    <s v="O0158"/>
    <d v="2025-11-26T00:00:00"/>
    <s v="QuickBuy Pvt Ltd"/>
    <x v="3"/>
    <x v="2"/>
    <s v="Electronics"/>
    <n v="8"/>
    <n v="48980"/>
    <n v="391840"/>
    <s v="Retail Store"/>
    <s v="Priya"/>
    <s v="QuickBuy Pvt Ltd"/>
  </r>
  <r>
    <s v="O0159"/>
    <d v="2025-07-17T00:00:00"/>
    <s v="Horizon Distributors"/>
    <x v="2"/>
    <x v="9"/>
    <s v="Accessories"/>
    <n v="5"/>
    <n v="2260"/>
    <n v="11300"/>
    <s v="Retail Store"/>
    <s v="Anita"/>
    <s v="Horizon Distributors"/>
  </r>
  <r>
    <s v="O0160"/>
    <d v="2025-01-26T00:00:00"/>
    <s v="Orbit Retail"/>
    <x v="1"/>
    <x v="3"/>
    <s v="Electronics"/>
    <n v="4"/>
    <n v="25990"/>
    <n v="103960"/>
    <s v="Retail Store"/>
    <s v="Anita"/>
    <s v="Orbit Retail"/>
  </r>
  <r>
    <s v="O0161"/>
    <d v="2025-09-27T00:00:00"/>
    <s v="Orbit Retail"/>
    <x v="2"/>
    <x v="8"/>
    <s v="Electronics"/>
    <n v="3"/>
    <n v="15460"/>
    <n v="46380"/>
    <s v="Distributor"/>
    <s v="Anita"/>
    <s v="Orbit Retail"/>
  </r>
  <r>
    <s v="O0162"/>
    <d v="2025-03-23T00:00:00"/>
    <s v="Vertex Retail"/>
    <x v="3"/>
    <x v="8"/>
    <s v="Electronics"/>
    <n v="1"/>
    <n v="14320"/>
    <n v="14320"/>
    <s v="Distributor"/>
    <s v="Rahul"/>
    <s v="Vertex Retail"/>
  </r>
  <r>
    <s v="O0163"/>
    <d v="2025-06-01T00:00:00"/>
    <s v="Crest Retail"/>
    <x v="1"/>
    <x v="4"/>
    <s v="Office Equipment"/>
    <n v="4"/>
    <n v="12800"/>
    <n v="51200"/>
    <s v="Online"/>
    <s v="Rahul"/>
    <s v="Crest Retail"/>
  </r>
  <r>
    <s v="O0164"/>
    <d v="2025-12-30T00:00:00"/>
    <s v="Galaxy Tech"/>
    <x v="3"/>
    <x v="6"/>
    <s v="Furniture"/>
    <n v="3"/>
    <n v="11890"/>
    <n v="35670"/>
    <s v="Online"/>
    <s v="Karan"/>
    <s v="Galaxy Tech"/>
  </r>
  <r>
    <s v="O0165"/>
    <d v="2025-01-16T00:00:00"/>
    <s v="Metro Mart"/>
    <x v="0"/>
    <x v="7"/>
    <s v="Furniture"/>
    <n v="2"/>
    <n v="8670"/>
    <n v="17340"/>
    <s v="Retail Store"/>
    <s v="Rahul"/>
    <s v="Metro Mart"/>
  </r>
  <r>
    <s v="O0166"/>
    <d v="2025-09-04T00:00:00"/>
    <s v="Metro Mart"/>
    <x v="2"/>
    <x v="2"/>
    <s v="Electronics"/>
    <n v="6"/>
    <n v="48020"/>
    <n v="288120"/>
    <s v="Retail Store"/>
    <s v="Priya"/>
    <s v="Metro Mart"/>
  </r>
  <r>
    <s v="O0167"/>
    <d v="2025-11-14T00:00:00"/>
    <s v="Lotus Enterprises"/>
    <x v="2"/>
    <x v="2"/>
    <s v="Electronics"/>
    <n v="1"/>
    <n v="48280"/>
    <n v="48280"/>
    <s v="Distributor"/>
    <s v="Anita"/>
    <s v="Lotus Enterprises"/>
  </r>
  <r>
    <s v="O0168"/>
    <d v="2025-03-06T00:00:00"/>
    <s v="QuickBuy Pvt Ltd"/>
    <x v="3"/>
    <x v="7"/>
    <s v="Furniture"/>
    <n v="3"/>
    <n v="8390"/>
    <n v="25170"/>
    <s v="Online"/>
    <s v="Vikram"/>
    <s v="QuickBuy Pvt Ltd"/>
  </r>
  <r>
    <s v="O0169"/>
    <d v="2025-10-20T00:00:00"/>
    <s v="Prime Distributors"/>
    <x v="2"/>
    <x v="0"/>
    <s v="Accessories"/>
    <n v="6"/>
    <n v="1860"/>
    <n v="11160"/>
    <s v="Online"/>
    <s v="Vikram"/>
    <s v="Prime Distributors"/>
  </r>
  <r>
    <s v="O0170"/>
    <d v="2025-05-20T00:00:00"/>
    <s v="Evergreen Stores"/>
    <x v="2"/>
    <x v="2"/>
    <s v="Electronics"/>
    <n v="1"/>
    <n v="51100"/>
    <n v="51100"/>
    <s v="Online"/>
    <s v="Priya"/>
    <s v="Evergreen Stores"/>
  </r>
  <r>
    <s v="O0171"/>
    <d v="2025-12-10T00:00:00"/>
    <s v="Kaveri Stores"/>
    <x v="0"/>
    <x v="3"/>
    <s v="Electronics"/>
    <n v="10"/>
    <n v="29720"/>
    <n v="297200"/>
    <s v="Online"/>
    <s v="Rahul"/>
    <s v="Kaveri Stores"/>
  </r>
  <r>
    <s v="O0172"/>
    <d v="2025-05-28T00:00:00"/>
    <s v="Sunrise Enterprises"/>
    <x v="2"/>
    <x v="8"/>
    <s v="Electronics"/>
    <n v="10"/>
    <n v="13880"/>
    <n v="138800"/>
    <s v="Retail Store"/>
    <s v="Rahul"/>
    <s v="Sunrise Enterprises"/>
  </r>
  <r>
    <s v="O0173"/>
    <d v="2025-09-16T00:00:00"/>
    <s v="Future Mart"/>
    <x v="2"/>
    <x v="2"/>
    <s v="Electronics"/>
    <n v="2"/>
    <n v="48150"/>
    <n v="96300"/>
    <s v="Online"/>
    <s v="Vikram"/>
    <s v="Future Mart"/>
  </r>
  <r>
    <s v="O0174"/>
    <d v="2025-08-29T00:00:00"/>
    <s v="Jupiter Systems"/>
    <x v="3"/>
    <x v="5"/>
    <s v="Accessories"/>
    <n v="6"/>
    <n v="3420"/>
    <n v="20520"/>
    <s v="Retail Store"/>
    <s v="Rahul"/>
    <s v="Jupiter Systems"/>
  </r>
  <r>
    <s v="O0175"/>
    <d v="2025-09-26T00:00:00"/>
    <s v="Orbit Retail"/>
    <x v="2"/>
    <x v="9"/>
    <s v="Accessories"/>
    <n v="1"/>
    <n v="2310"/>
    <n v="2310"/>
    <s v="Online"/>
    <s v="Karan"/>
    <s v="Orbit Retail"/>
  </r>
  <r>
    <s v="O0176"/>
    <d v="2025-11-19T00:00:00"/>
    <s v="Iconic Retail"/>
    <x v="3"/>
    <x v="3"/>
    <s v="Electronics"/>
    <n v="1"/>
    <n v="29690"/>
    <n v="29690"/>
    <s v="Online"/>
    <s v="Rahul"/>
    <s v="Iconic Retail"/>
  </r>
  <r>
    <s v="O0177"/>
    <d v="2025-09-18T00:00:00"/>
    <s v="Kaveri Stores"/>
    <x v="3"/>
    <x v="6"/>
    <s v="Furniture"/>
    <n v="5"/>
    <n v="12300"/>
    <n v="61500"/>
    <s v="Retail Store"/>
    <s v="Karan"/>
    <s v="Kaveri Stores"/>
  </r>
  <r>
    <s v="O0178"/>
    <d v="2025-03-31T00:00:00"/>
    <s v="Royal Traders"/>
    <x v="0"/>
    <x v="0"/>
    <s v="Accessories"/>
    <n v="2"/>
    <n v="1860"/>
    <n v="3720"/>
    <s v="Online"/>
    <s v="Karan"/>
    <s v="Royal Traders"/>
  </r>
  <r>
    <s v="O0179"/>
    <d v="2025-04-24T00:00:00"/>
    <s v="Horizon Distributors  "/>
    <x v="2"/>
    <x v="2"/>
    <s v="Electronics"/>
    <n v="6"/>
    <n v="56090"/>
    <n v="336540"/>
    <s v="Retail Store"/>
    <s v="Sneha"/>
    <s v="Horizon Distributors"/>
  </r>
  <r>
    <s v="O0180"/>
    <d v="2025-02-09T00:00:00"/>
    <s v="Metro Mart"/>
    <x v="2"/>
    <x v="6"/>
    <s v="Furniture"/>
    <n v="3"/>
    <n v="12310"/>
    <n v="36930"/>
    <s v="Online"/>
    <s v="Vikram"/>
    <s v="Metro Mart"/>
  </r>
  <r>
    <s v="O0181"/>
    <d v="2025-02-28T00:00:00"/>
    <s v="Prime Distributors"/>
    <x v="2"/>
    <x v="4"/>
    <s v="Office Equipment"/>
    <n v="6"/>
    <n v="11990"/>
    <n v="71940"/>
    <s v="Online"/>
    <s v="Priya"/>
    <s v="Prime Distributors"/>
  </r>
  <r>
    <s v="O0182"/>
    <d v="2025-06-04T00:00:00"/>
    <s v="Future Mart"/>
    <x v="1"/>
    <x v="8"/>
    <s v="Electronics"/>
    <n v="8"/>
    <n v="13590"/>
    <n v="108720"/>
    <s v="Distributor"/>
    <s v="Sneha"/>
    <s v="Future Mart"/>
  </r>
  <r>
    <s v="O0183"/>
    <d v="2025-01-23T00:00:00"/>
    <s v="Jupiter Systems"/>
    <x v="0"/>
    <x v="6"/>
    <s v="Furniture"/>
    <n v="6"/>
    <n v="11100"/>
    <n v="66600"/>
    <s v="Distributor"/>
    <s v="Sneha"/>
    <s v="Jupiter Systems"/>
  </r>
  <r>
    <s v="O0184"/>
    <d v="2025-07-25T00:00:00"/>
    <s v="Metro Mart"/>
    <x v="2"/>
    <x v="9"/>
    <s v="Accessories"/>
    <n v="1"/>
    <n v="2310"/>
    <n v="2310"/>
    <s v="Distributor"/>
    <s v="Rahul"/>
    <s v="Metro Mart"/>
  </r>
  <r>
    <s v="O0185"/>
    <d v="2025-01-17T00:00:00"/>
    <s v="Horizon Distributors"/>
    <x v="3"/>
    <x v="0"/>
    <s v="Accessories"/>
    <n v="4"/>
    <n v="1940"/>
    <n v="7760"/>
    <s v="Retail Store"/>
    <s v="Karan"/>
    <s v="Horizon Distributors"/>
  </r>
  <r>
    <s v="O0186"/>
    <d v="2025-03-15T00:00:00"/>
    <s v="Iconic Retail"/>
    <x v="1"/>
    <x v="2"/>
    <s v="Electronics"/>
    <n v="5"/>
    <n v="48910"/>
    <n v="244550"/>
    <s v="Retail Store"/>
    <s v="Karan"/>
    <s v="Iconic Retail"/>
  </r>
  <r>
    <s v="O0187"/>
    <d v="2025-07-15T00:00:00"/>
    <s v="Vertex Retail"/>
    <x v="1"/>
    <x v="3"/>
    <s v="Electronics"/>
    <n v="8"/>
    <n v="26220"/>
    <n v="209760"/>
    <s v="Retail Store"/>
    <s v="Karan"/>
    <s v="Vertex Retail"/>
  </r>
  <r>
    <s v="O0188"/>
    <d v="2025-07-12T00:00:00"/>
    <s v="Royal Traders"/>
    <x v="0"/>
    <x v="0"/>
    <s v="Accessories"/>
    <n v="4"/>
    <n v="1680"/>
    <n v="6720"/>
    <s v="Retail Store"/>
    <s v="Sneha"/>
    <s v="Royal Traders"/>
  </r>
  <r>
    <s v="O0189"/>
    <d v="2025-01-07T00:00:00"/>
    <s v="Kaveri Stores"/>
    <x v="2"/>
    <x v="1"/>
    <s v="Accessories"/>
    <n v="4"/>
    <n v="910"/>
    <n v="3640"/>
    <s v="Retail Store"/>
    <s v="Priya"/>
    <s v="Kaveri Stores"/>
  </r>
  <r>
    <s v="O0190"/>
    <d v="2025-08-14T00:00:00"/>
    <s v="Delta Enterprises"/>
    <x v="2"/>
    <x v="8"/>
    <s v="Electronics"/>
    <n v="1"/>
    <n v="13710"/>
    <n v="13710"/>
    <s v="Distributor"/>
    <s v="Sneha"/>
    <s v="Delta Enterprises"/>
  </r>
  <r>
    <s v="O0191"/>
    <d v="2025-03-16T00:00:00"/>
    <s v="Vertex Retail"/>
    <x v="1"/>
    <x v="6"/>
    <s v="Furniture"/>
    <n v="3"/>
    <n v="12630"/>
    <n v="37890"/>
    <s v="Retail Store"/>
    <s v="Vikram"/>
    <s v="Vertex Retail"/>
  </r>
  <r>
    <s v="O0192"/>
    <d v="2025-08-24T00:00:00"/>
    <s v="Orbit Retail"/>
    <x v="1"/>
    <x v="8"/>
    <s v="Electronics"/>
    <n v="1"/>
    <n v="15350"/>
    <n v="15350"/>
    <s v="Online"/>
    <s v="Priya"/>
    <s v="Orbit Retail"/>
  </r>
  <r>
    <s v="O0193"/>
    <d v="2025-09-14T00:00:00"/>
    <s v="Future Mart"/>
    <x v="3"/>
    <x v="5"/>
    <s v="Accessories"/>
    <n v="5"/>
    <n v="3170"/>
    <n v="15850"/>
    <s v="Retail Store"/>
    <s v="Sneha"/>
    <s v="Future Mart"/>
  </r>
  <r>
    <s v="O0194"/>
    <d v="2025-10-01T00:00:00"/>
    <s v="Orbit Retail"/>
    <x v="1"/>
    <x v="8"/>
    <s v="Electronics"/>
    <n v="6"/>
    <n v="15000"/>
    <n v="90000"/>
    <s v="Distributor"/>
    <s v="Karan"/>
    <s v="Orbit Retail"/>
  </r>
  <r>
    <s v="O0195"/>
    <d v="2025-03-20T00:00:00"/>
    <s v="Nova Solutions"/>
    <x v="0"/>
    <x v="8"/>
    <s v="Electronics"/>
    <n v="6"/>
    <n v="15140"/>
    <n v="90840"/>
    <s v="Distributor"/>
    <s v="Priya"/>
    <s v="Nova Solutions"/>
  </r>
  <r>
    <s v="O0196"/>
    <d v="2025-02-15T00:00:00"/>
    <s v="Orbit Retail"/>
    <x v="2"/>
    <x v="7"/>
    <s v="Furniture"/>
    <n v="2"/>
    <n v="9060"/>
    <n v="18120"/>
    <s v="Retail Store"/>
    <s v="Vikram"/>
    <s v="Orbit Retail"/>
  </r>
  <r>
    <s v="O0197"/>
    <d v="2025-01-09T00:00:00"/>
    <s v="Future Mart"/>
    <x v="1"/>
    <x v="3"/>
    <s v="Electronics"/>
    <n v="4"/>
    <n v="26870"/>
    <n v="107480"/>
    <s v="Online"/>
    <s v="Karan"/>
    <s v="Future Mart"/>
  </r>
  <r>
    <s v="O0198"/>
    <d v="2025-12-10T00:00:00"/>
    <s v="Horizon Distributors"/>
    <x v="3"/>
    <x v="2"/>
    <s v="Electronics"/>
    <n v="4"/>
    <n v="50080"/>
    <n v="200320"/>
    <s v="Online"/>
    <s v="Anita"/>
    <s v="Horizon Distributors"/>
  </r>
  <r>
    <s v="O0199"/>
    <d v="2025-04-05T00:00:00"/>
    <s v="Future Mart"/>
    <x v="1"/>
    <x v="2"/>
    <s v="Electronics"/>
    <n v="1"/>
    <n v="51110"/>
    <n v="51110"/>
    <s v="Distributor"/>
    <s v="Sneha"/>
    <s v="Future Mart"/>
  </r>
  <r>
    <s v="O0200"/>
    <d v="2025-09-24T00:00:00"/>
    <s v="Sunrise Enterprises"/>
    <x v="1"/>
    <x v="9"/>
    <s v="Accessories"/>
    <n v="8"/>
    <n v="2340"/>
    <n v="18720"/>
    <s v="Online"/>
    <s v="Anita"/>
    <s v="Sunrise Enterprises"/>
  </r>
  <r>
    <s v="O0201"/>
    <d v="2025-11-06T00:00:00"/>
    <s v="Vertex Retail"/>
    <x v="2"/>
    <x v="2"/>
    <s v="Electronics"/>
    <n v="3"/>
    <n v="47990"/>
    <n v="143970"/>
    <s v="Retail Store"/>
    <s v="Rahul"/>
    <s v="Vertex Retail"/>
  </r>
  <r>
    <s v="O0202"/>
    <d v="2025-03-18T00:00:00"/>
    <s v="Vertex Retail"/>
    <x v="0"/>
    <x v="0"/>
    <s v="Accessories"/>
    <n v="3"/>
    <n v="1680"/>
    <n v="5040"/>
    <s v="Retail Store"/>
    <s v="Rahul"/>
    <s v="Vertex Retail"/>
  </r>
  <r>
    <s v="O0203"/>
    <d v="2025-05-23T00:00:00"/>
    <s v="Bright Solutions"/>
    <x v="0"/>
    <x v="5"/>
    <s v="Accessories"/>
    <n v="2"/>
    <n v="3300"/>
    <n v="6600"/>
    <s v="Distributor"/>
    <s v="Karan"/>
    <s v="Bright Solutions"/>
  </r>
  <r>
    <s v="O0204"/>
    <d v="2025-01-09T00:00:00"/>
    <s v="Future Mart"/>
    <x v="2"/>
    <x v="2"/>
    <s v="Electronics"/>
    <n v="4"/>
    <n v="53720"/>
    <n v="214880"/>
    <s v="Distributor"/>
    <s v="Anita"/>
    <s v="Future Mart"/>
  </r>
  <r>
    <s v="O0205"/>
    <d v="2025-11-14T00:00:00"/>
    <s v="Vertex Retail"/>
    <x v="0"/>
    <x v="9"/>
    <s v="Accessories"/>
    <n v="6"/>
    <n v="2280"/>
    <n v="13680"/>
    <s v="Distributor"/>
    <s v="Priya"/>
    <s v="Vertex Retail"/>
  </r>
  <r>
    <s v="O0206"/>
    <d v="2025-11-10T00:00:00"/>
    <s v="Crest Retail"/>
    <x v="3"/>
    <x v="4"/>
    <s v="Office Equipment"/>
    <n v="4"/>
    <n v="12610"/>
    <n v="50440"/>
    <s v="Online"/>
    <s v="Karan"/>
    <s v="Crest Retail"/>
  </r>
  <r>
    <s v="O0207"/>
    <d v="2025-03-28T00:00:00"/>
    <s v="Lotus Enterprises"/>
    <x v="2"/>
    <x v="9"/>
    <s v="Accessories"/>
    <n v="1"/>
    <n v="2050"/>
    <n v="2050"/>
    <s v="Online"/>
    <s v="Sneha"/>
    <s v="Lotus Enterprises"/>
  </r>
  <r>
    <s v="O0208"/>
    <d v="2025-06-22T00:00:00"/>
    <s v="Horizon Distributors"/>
    <x v="2"/>
    <x v="3"/>
    <s v="Electronics"/>
    <n v="2"/>
    <n v="27870"/>
    <n v="55740"/>
    <s v="Distributor"/>
    <s v="Sneha"/>
    <s v="Horizon Distributors"/>
  </r>
  <r>
    <s v="O0209"/>
    <d v="2025-07-30T00:00:00"/>
    <s v="Evergreen Stores"/>
    <x v="1"/>
    <x v="3"/>
    <s v="Electronics"/>
    <n v="3"/>
    <n v="28250"/>
    <n v="84750"/>
    <s v="Online"/>
    <s v="Priya"/>
    <s v="Evergreen Stores"/>
  </r>
  <r>
    <s v="O0210"/>
    <d v="2025-04-03T00:00:00"/>
    <s v="Orbit Retail"/>
    <x v="2"/>
    <x v="3"/>
    <s v="Electronics"/>
    <n v="2"/>
    <n v="28810"/>
    <n v="57620"/>
    <s v="Distributor"/>
    <s v="Karan"/>
    <s v="Orbit Retail"/>
  </r>
  <r>
    <s v="O0211"/>
    <d v="2025-01-24T00:00:00"/>
    <s v="Vertex Retail"/>
    <x v="2"/>
    <x v="8"/>
    <s v="Electronics"/>
    <n v="10"/>
    <n v="14300"/>
    <n v="143000"/>
    <s v="Retail Store"/>
    <s v="Karan"/>
    <s v="Vertex Retail"/>
  </r>
  <r>
    <s v="O0212"/>
    <d v="2025-04-15T00:00:00"/>
    <s v="Delta Enterprises"/>
    <x v="0"/>
    <x v="4"/>
    <s v="Office Equipment"/>
    <n v="3"/>
    <n v="12530"/>
    <n v="37590"/>
    <s v="Online"/>
    <s v="Rahul"/>
    <s v="Delta Enterprises"/>
  </r>
  <r>
    <s v="O0213"/>
    <d v="2025-09-19T00:00:00"/>
    <s v="Galaxy Tech"/>
    <x v="0"/>
    <x v="4"/>
    <s v="Office Equipment"/>
    <n v="6"/>
    <n v="13300"/>
    <n v="79800"/>
    <s v="Distributor"/>
    <s v="Priya"/>
    <s v="Galaxy Tech"/>
  </r>
  <r>
    <s v="O0214"/>
    <d v="2025-01-18T00:00:00"/>
    <s v="Horizon Distributors"/>
    <x v="2"/>
    <x v="0"/>
    <s v="Accessories"/>
    <n v="2"/>
    <n v="1770"/>
    <n v="3540"/>
    <s v="Distributor"/>
    <s v="Anita"/>
    <s v="Horizon Distributors"/>
  </r>
  <r>
    <s v="O0215"/>
    <d v="2025-03-28T00:00:00"/>
    <s v="Jupiter Systems"/>
    <x v="1"/>
    <x v="2"/>
    <s v="Electronics"/>
    <n v="4"/>
    <n v="55400"/>
    <n v="221600"/>
    <s v="Retail Store"/>
    <s v="Vikram"/>
    <s v="Jupiter Systems"/>
  </r>
  <r>
    <s v="O0216"/>
    <d v="2025-02-10T00:00:00"/>
    <s v="Orbit Retail"/>
    <x v="0"/>
    <x v="4"/>
    <s v="Office Equipment"/>
    <n v="3"/>
    <n v="11640"/>
    <n v="34920"/>
    <s v="Distributor"/>
    <s v="Anita"/>
    <s v="Orbit Retail"/>
  </r>
  <r>
    <s v="O0217"/>
    <d v="2025-12-11T00:00:00"/>
    <s v="Bright Solutions"/>
    <x v="3"/>
    <x v="9"/>
    <s v="Accessories"/>
    <n v="1"/>
    <n v="2250"/>
    <n v="2250"/>
    <s v="Online"/>
    <s v="Sneha"/>
    <s v="Bright Solutions"/>
  </r>
  <r>
    <s v="O0218"/>
    <d v="2025-10-28T00:00:00"/>
    <s v="Orbit Retail"/>
    <x v="3"/>
    <x v="0"/>
    <s v="Accessories"/>
    <n v="5"/>
    <n v="1690"/>
    <n v="8450"/>
    <s v="Distributor"/>
    <s v="Rahul"/>
    <s v="Orbit Retail"/>
  </r>
  <r>
    <s v="O0219"/>
    <d v="2025-09-23T00:00:00"/>
    <s v="Lotus Enterprises"/>
    <x v="0"/>
    <x v="2"/>
    <s v="Electronics"/>
    <n v="1"/>
    <n v="52160"/>
    <n v="52160"/>
    <s v="Online"/>
    <s v="Anita"/>
    <s v="Lotus Enterprises"/>
  </r>
  <r>
    <s v="O0220"/>
    <d v="2025-11-09T00:00:00"/>
    <s v="Vertex Retail"/>
    <x v="1"/>
    <x v="1"/>
    <s v="Accessories"/>
    <n v="4"/>
    <n v="960"/>
    <n v="3840"/>
    <s v="Online"/>
    <s v="Priya"/>
    <s v="Vertex Retail"/>
  </r>
  <r>
    <s v="O0221"/>
    <d v="2025-04-30T00:00:00"/>
    <s v="Lotus Enterprises"/>
    <x v="1"/>
    <x v="9"/>
    <s v="Accessories"/>
    <n v="4"/>
    <n v="2190"/>
    <n v="8760"/>
    <s v="Distributor"/>
    <s v="Vikram"/>
    <s v="Lotus Enterprises"/>
  </r>
  <r>
    <s v="O0222"/>
    <d v="2025-05-10T00:00:00"/>
    <s v="Iconic Retail"/>
    <x v="3"/>
    <x v="8"/>
    <s v="Electronics"/>
    <n v="1"/>
    <n v="13970"/>
    <n v="13970"/>
    <s v="Online"/>
    <s v="Karan"/>
    <s v="Iconic Retail"/>
  </r>
  <r>
    <s v="O0223"/>
    <d v="2025-09-02T00:00:00"/>
    <s v="Evergreen Stores"/>
    <x v="2"/>
    <x v="2"/>
    <s v="Electronics"/>
    <n v="4"/>
    <n v="49710"/>
    <n v="198840"/>
    <s v="Online"/>
    <s v="Priya"/>
    <s v="Evergreen Stores"/>
  </r>
  <r>
    <s v="O0224"/>
    <d v="2025-08-04T00:00:00"/>
    <s v="Kaveri Stores"/>
    <x v="0"/>
    <x v="2"/>
    <s v="Electronics"/>
    <n v="1"/>
    <n v="56050"/>
    <n v="56050"/>
    <s v="Retail Store"/>
    <s v="Anita"/>
    <s v="Kaveri Stores"/>
  </r>
  <r>
    <s v="O0225"/>
    <d v="2025-06-27T00:00:00"/>
    <s v="Lotus Enterprises"/>
    <x v="0"/>
    <x v="3"/>
    <s v="Electronics"/>
    <n v="6"/>
    <n v="27800"/>
    <n v="166800"/>
    <s v="Distributor"/>
    <s v="Vikram"/>
    <s v="Lotus Enterprises"/>
  </r>
  <r>
    <s v="O0226"/>
    <d v="2025-01-08T00:00:00"/>
    <s v="Royal Traders"/>
    <x v="2"/>
    <x v="0"/>
    <s v="Accessories"/>
    <n v="4"/>
    <n v="1710"/>
    <n v="6840"/>
    <s v="Online"/>
    <s v="Sneha"/>
    <s v="Royal Traders"/>
  </r>
  <r>
    <s v="O0227"/>
    <d v="2025-10-17T00:00:00"/>
    <s v="Alpha Traders"/>
    <x v="3"/>
    <x v="1"/>
    <s v="Accessories"/>
    <n v="6"/>
    <n v="850"/>
    <n v="5100"/>
    <s v="Distributor"/>
    <s v="Rahul"/>
    <s v="Alpha Traders"/>
  </r>
  <r>
    <s v="O0228"/>
    <d v="2025-01-26T00:00:00"/>
    <s v="Horizon Distributors"/>
    <x v="3"/>
    <x v="0"/>
    <s v="Accessories"/>
    <n v="1"/>
    <n v="1730"/>
    <n v="1730"/>
    <s v="Online"/>
    <s v="Karan"/>
    <s v="Horizon Distributors"/>
  </r>
  <r>
    <s v="O0229"/>
    <d v="2025-01-01T00:00:00"/>
    <s v="Sunrise Enterprises"/>
    <x v="3"/>
    <x v="2"/>
    <s v="Electronics"/>
    <n v="5"/>
    <n v="55480"/>
    <n v="277400"/>
    <s v="Retail Store"/>
    <s v="Sneha"/>
    <s v="Sunrise Enterprises"/>
  </r>
  <r>
    <s v="O0230"/>
    <d v="2025-07-11T00:00:00"/>
    <s v="Future Mart"/>
    <x v="3"/>
    <x v="9"/>
    <s v="Accessories"/>
    <n v="3"/>
    <n v="2150"/>
    <n v="6450"/>
    <s v="Online"/>
    <s v="Anita"/>
    <s v="Future Mart"/>
  </r>
  <r>
    <s v="O0231"/>
    <d v="2025-03-18T00:00:00"/>
    <s v="Iconic Retail"/>
    <x v="0"/>
    <x v="1"/>
    <s v="Accessories"/>
    <n v="6"/>
    <n v="940"/>
    <n v="5640"/>
    <s v="Retail Store"/>
    <s v="Sneha"/>
    <s v="Iconic Retail"/>
  </r>
  <r>
    <s v="O0232"/>
    <d v="2025-03-23T00:00:00"/>
    <s v="Metro Mart"/>
    <x v="2"/>
    <x v="7"/>
    <s v="Furniture"/>
    <n v="8"/>
    <n v="8420"/>
    <n v="67360"/>
    <s v="Distributor"/>
    <s v="Priya"/>
    <s v="Metro Mart"/>
  </r>
  <r>
    <s v="O0233"/>
    <d v="2025-03-30T00:00:00"/>
    <s v="Orbit Retail"/>
    <x v="2"/>
    <x v="6"/>
    <s v="Furniture"/>
    <n v="2"/>
    <n v="11610"/>
    <n v="23220"/>
    <s v="Retail Store"/>
    <s v="Sneha"/>
    <s v="Orbit Retail"/>
  </r>
  <r>
    <s v="O0234"/>
    <d v="2025-08-12T00:00:00"/>
    <s v="QuickBuy Pvt Ltd"/>
    <x v="3"/>
    <x v="1"/>
    <s v="Accessories"/>
    <n v="3"/>
    <n v="910"/>
    <n v="2730"/>
    <s v="Retail Store"/>
    <s v="Rahul"/>
    <s v="QuickBuy Pvt Ltd"/>
  </r>
  <r>
    <s v="O0235"/>
    <d v="2025-09-22T00:00:00"/>
    <s v="Crest Retail"/>
    <x v="2"/>
    <x v="3"/>
    <s v="Electronics"/>
    <n v="1"/>
    <n v="28640"/>
    <n v="28640"/>
    <s v="Retail Store"/>
    <s v="Rahul"/>
    <s v="Crest Retail"/>
  </r>
  <r>
    <s v="O0236"/>
    <d v="2025-01-12T00:00:00"/>
    <s v="Evergreen Stores"/>
    <x v="0"/>
    <x v="1"/>
    <s v="Accessories"/>
    <n v="1"/>
    <n v="880"/>
    <n v="880"/>
    <s v="Online"/>
    <s v="Karan"/>
    <s v="Evergreen Stores"/>
  </r>
  <r>
    <s v="O0237"/>
    <d v="2025-10-29T00:00:00"/>
    <s v="Royal Traders"/>
    <x v="1"/>
    <x v="1"/>
    <s v="Accessories"/>
    <n v="2"/>
    <n v="910"/>
    <n v="1820"/>
    <s v="Distributor"/>
    <s v="Priya"/>
    <s v="Royal Traders"/>
  </r>
  <r>
    <s v="O0238"/>
    <d v="2025-10-30T00:00:00"/>
    <s v="Orbit Retail"/>
    <x v="2"/>
    <x v="2"/>
    <s v="Electronics"/>
    <n v="2"/>
    <n v="47900"/>
    <n v="95800"/>
    <s v="Distributor"/>
    <s v="Priya"/>
    <s v="Orbit Retail"/>
  </r>
  <r>
    <s v="O0239"/>
    <d v="2025-10-17T00:00:00"/>
    <s v="Nova Solutions"/>
    <x v="2"/>
    <x v="2"/>
    <s v="Electronics"/>
    <n v="8"/>
    <n v="50770"/>
    <n v="406160"/>
    <s v="Online"/>
    <s v="Karan"/>
    <s v="Nova Solutions"/>
  </r>
  <r>
    <s v="O0240"/>
    <d v="2025-05-16T00:00:00"/>
    <s v="Prime Distributors"/>
    <x v="0"/>
    <x v="9"/>
    <s v="Accessories"/>
    <n v="8"/>
    <n v="2210"/>
    <n v="17680"/>
    <s v="Retail Store"/>
    <s v="Rahul"/>
    <s v="Prime Distributors"/>
  </r>
  <r>
    <s v="O0241"/>
    <d v="2025-12-16T00:00:00"/>
    <s v="Kaveri Stores"/>
    <x v="3"/>
    <x v="1"/>
    <s v="Accessories"/>
    <n v="10"/>
    <n v="950"/>
    <n v="9500"/>
    <s v="Distributor"/>
    <s v="Karan"/>
    <s v="Kaveri Stores"/>
  </r>
  <r>
    <s v="O0242"/>
    <d v="2025-11-08T00:00:00"/>
    <s v="QuickBuy Pvt Ltd"/>
    <x v="0"/>
    <x v="8"/>
    <s v="Electronics"/>
    <n v="3"/>
    <n v="14980"/>
    <n v="44940"/>
    <s v="Online"/>
    <s v="Rahul"/>
    <s v="QuickBuy Pvt Ltd"/>
  </r>
  <r>
    <s v="O0243"/>
    <d v="2025-11-06T00:00:00"/>
    <s v="Alpha Traders"/>
    <x v="1"/>
    <x v="5"/>
    <s v="Accessories"/>
    <n v="3"/>
    <n v="2990"/>
    <n v="8970"/>
    <s v="Online"/>
    <s v="Rahul"/>
    <s v="Alpha Traders"/>
  </r>
  <r>
    <s v="O0244"/>
    <d v="2025-10-04T00:00:00"/>
    <s v="Iconic Retail"/>
    <x v="0"/>
    <x v="2"/>
    <s v="Electronics"/>
    <n v="1"/>
    <n v="53150"/>
    <n v="53150"/>
    <s v="Online"/>
    <s v="Rahul"/>
    <s v="Iconic Retail"/>
  </r>
  <r>
    <s v="O0245"/>
    <d v="2025-06-01T00:00:00"/>
    <s v="Prime Distributors"/>
    <x v="2"/>
    <x v="8"/>
    <s v="Electronics"/>
    <n v="2"/>
    <n v="15440"/>
    <n v="30880"/>
    <s v="Retail Store"/>
    <s v="Priya"/>
    <s v="Prime Distributors"/>
  </r>
  <r>
    <s v="O0246"/>
    <d v="2025-03-01T00:00:00"/>
    <s v="Galaxy Tech"/>
    <x v="0"/>
    <x v="7"/>
    <s v="Furniture"/>
    <n v="2"/>
    <n v="8940"/>
    <n v="17880"/>
    <s v="Online"/>
    <s v="Rahul"/>
    <s v="Galaxy Tech"/>
  </r>
  <r>
    <s v="O0247"/>
    <d v="2025-03-10T00:00:00"/>
    <s v="Orbit Retail"/>
    <x v="2"/>
    <x v="7"/>
    <s v="Furniture"/>
    <n v="1"/>
    <n v="8400"/>
    <n v="8400"/>
    <s v="Distributor"/>
    <s v="Karan"/>
    <s v="Orbit Retail"/>
  </r>
  <r>
    <s v="O0248"/>
    <d v="2025-10-20T00:00:00"/>
    <s v="Orbit Retail"/>
    <x v="3"/>
    <x v="6"/>
    <s v="Furniture"/>
    <n v="2"/>
    <n v="11220"/>
    <n v="22440"/>
    <s v="Distributor"/>
    <s v="Priya"/>
    <s v="Orbit Retail"/>
  </r>
  <r>
    <s v="O0249"/>
    <d v="2025-09-11T00:00:00"/>
    <s v="Bright Solutions"/>
    <x v="1"/>
    <x v="8"/>
    <s v="Electronics"/>
    <n v="2"/>
    <n v="14720"/>
    <n v="29440"/>
    <s v="Distributor"/>
    <s v="Sneha"/>
    <s v="Bright Solutions"/>
  </r>
  <r>
    <s v="O0250"/>
    <d v="2025-08-29T00:00:00"/>
    <s v="Kaveri Stores"/>
    <x v="3"/>
    <x v="9"/>
    <s v="Accessories"/>
    <n v="3"/>
    <n v="2180"/>
    <n v="6540"/>
    <s v="Retail Store"/>
    <s v="Priya"/>
    <s v="Kaveri Stores"/>
  </r>
  <r>
    <s v="O0251"/>
    <d v="2025-04-19T00:00:00"/>
    <s v="Nova Solutions"/>
    <x v="1"/>
    <x v="3"/>
    <s v="Electronics"/>
    <n v="2"/>
    <n v="29820"/>
    <n v="59640"/>
    <s v="Online"/>
    <s v="Anita"/>
    <s v="Nova Solutions"/>
  </r>
  <r>
    <s v="O0252"/>
    <d v="2025-03-11T00:00:00"/>
    <s v="Iconic Retail"/>
    <x v="3"/>
    <x v="3"/>
    <s v="Electronics"/>
    <n v="3"/>
    <n v="27400"/>
    <n v="82200"/>
    <s v="Online"/>
    <s v="Anita"/>
    <s v="Iconic Retail"/>
  </r>
  <r>
    <s v="O0253"/>
    <d v="2025-06-09T00:00:00"/>
    <s v="Horizon Distributors"/>
    <x v="0"/>
    <x v="7"/>
    <s v="Furniture"/>
    <n v="4"/>
    <n v="7920"/>
    <n v="31680"/>
    <s v="Retail Store"/>
    <s v="Priya"/>
    <s v="Horizon Distributors"/>
  </r>
  <r>
    <s v="O0254"/>
    <d v="2025-11-22T00:00:00"/>
    <s v="Bright Solutions"/>
    <x v="3"/>
    <x v="4"/>
    <s v="Office Equipment"/>
    <n v="2"/>
    <n v="12170"/>
    <n v="24340"/>
    <s v="Retail Store"/>
    <s v="Vikram"/>
    <s v="Bright Solutions"/>
  </r>
  <r>
    <s v="O0255"/>
    <d v="2025-09-21T00:00:00"/>
    <s v="Lotus Enterprises"/>
    <x v="0"/>
    <x v="4"/>
    <s v="Office Equipment"/>
    <n v="5"/>
    <n v="12430"/>
    <n v="62150"/>
    <s v="Online"/>
    <s v="Sneha"/>
    <s v="Lotus Enterprises"/>
  </r>
  <r>
    <s v="O0256"/>
    <d v="2025-04-16T00:00:00"/>
    <s v="Prime Distributors"/>
    <x v="1"/>
    <x v="3"/>
    <s v="Electronics"/>
    <n v="5"/>
    <n v="26520"/>
    <n v="132600"/>
    <s v="Online"/>
    <s v="Karan"/>
    <s v="Prime Distributors"/>
  </r>
  <r>
    <s v="O0257"/>
    <d v="2025-10-06T00:00:00"/>
    <s v="Sunrise Enterprises"/>
    <x v="1"/>
    <x v="5"/>
    <s v="Accessories"/>
    <n v="3"/>
    <n v="3140"/>
    <n v="9420"/>
    <s v="Retail Store"/>
    <s v="Sneha"/>
    <s v="Sunrise Enterprises"/>
  </r>
  <r>
    <s v="O0258"/>
    <d v="2025-10-13T00:00:00"/>
    <s v="Vertex Retail"/>
    <x v="0"/>
    <x v="9"/>
    <s v="Accessories"/>
    <n v="5"/>
    <n v="2110"/>
    <n v="10550"/>
    <s v="Retail Store"/>
    <s v="Rahul"/>
    <s v="Vertex Retail"/>
  </r>
  <r>
    <s v="O0259"/>
    <d v="2025-02-07T00:00:00"/>
    <s v="Vertex Retail"/>
    <x v="0"/>
    <x v="7"/>
    <s v="Furniture"/>
    <n v="6"/>
    <n v="8650"/>
    <n v="51900"/>
    <s v="Online"/>
    <s v="Vikram"/>
    <s v="Vertex Retail"/>
  </r>
  <r>
    <s v="O0260"/>
    <d v="2025-12-27T00:00:00"/>
    <s v="Bright Solutions"/>
    <x v="3"/>
    <x v="2"/>
    <s v="Electronics"/>
    <n v="2"/>
    <n v="50680"/>
    <n v="101360"/>
    <s v="Online"/>
    <s v="Anita"/>
    <s v="Bright Solutions"/>
  </r>
  <r>
    <s v="O0261"/>
    <d v="2025-06-03T00:00:00"/>
    <s v="Delta Enterprises"/>
    <x v="0"/>
    <x v="4"/>
    <s v="Office Equipment"/>
    <n v="5"/>
    <n v="12060"/>
    <n v="60300"/>
    <s v="Distributor"/>
    <s v="Vikram"/>
    <s v="Delta Enterprises"/>
  </r>
  <r>
    <s v="O0262"/>
    <d v="2025-04-11T00:00:00"/>
    <s v="Vertex Retail"/>
    <x v="0"/>
    <x v="5"/>
    <s v="Accessories"/>
    <n v="3"/>
    <n v="3450"/>
    <n v="10350"/>
    <s v="Distributor"/>
    <s v="Anita"/>
    <s v="Vertex Retail"/>
  </r>
  <r>
    <s v="O0263"/>
    <d v="2025-08-04T00:00:00"/>
    <s v="Jupiter Systems"/>
    <x v="0"/>
    <x v="2"/>
    <s v="Electronics"/>
    <n v="5"/>
    <n v="51010"/>
    <n v="255050"/>
    <s v="Retail Store"/>
    <s v="Vikram"/>
    <s v="Jupiter Systems"/>
  </r>
  <r>
    <s v="O0264"/>
    <d v="2025-06-12T00:00:00"/>
    <s v="Bright Solutions"/>
    <x v="3"/>
    <x v="8"/>
    <s v="Electronics"/>
    <n v="2"/>
    <n v="15240"/>
    <n v="30480"/>
    <s v="Retail Store"/>
    <s v="Priya"/>
    <s v="Bright Solutions"/>
  </r>
  <r>
    <s v="O0265"/>
    <d v="2025-01-25T00:00:00"/>
    <s v="Bright Solutions"/>
    <x v="2"/>
    <x v="0"/>
    <s v="Accessories"/>
    <n v="10"/>
    <n v="1840"/>
    <n v="18400"/>
    <s v="Online"/>
    <s v="Vikram"/>
    <s v="Bright Solutions"/>
  </r>
  <r>
    <s v="O0266"/>
    <d v="2025-12-02T00:00:00"/>
    <s v="Nova Solutions"/>
    <x v="2"/>
    <x v="0"/>
    <s v="Accessories"/>
    <n v="4"/>
    <n v="1700"/>
    <n v="6800"/>
    <s v="Distributor"/>
    <s v="Priya"/>
    <s v="Nova Solutions"/>
  </r>
  <r>
    <s v="O0267"/>
    <d v="2025-01-25T00:00:00"/>
    <s v="Orbit Retail"/>
    <x v="1"/>
    <x v="1"/>
    <s v="Accessories"/>
    <n v="1"/>
    <n v="880"/>
    <n v="880"/>
    <s v="Online"/>
    <s v="Karan"/>
    <s v="Orbit Retail"/>
  </r>
  <r>
    <s v="O0268"/>
    <d v="2025-01-31T00:00:00"/>
    <s v="Nova Solutions"/>
    <x v="1"/>
    <x v="7"/>
    <s v="Furniture"/>
    <n v="1"/>
    <n v="8630"/>
    <n v="8630"/>
    <s v="Retail Store"/>
    <s v="Sneha"/>
    <s v="Nova Solutions"/>
  </r>
  <r>
    <s v="O0269"/>
    <d v="2025-09-11T00:00:00"/>
    <s v="Bright Solutions"/>
    <x v="1"/>
    <x v="2"/>
    <s v="Electronics"/>
    <n v="4"/>
    <n v="49640"/>
    <n v="198560"/>
    <s v="Distributor"/>
    <s v="Priya"/>
    <s v="Bright Solutions"/>
  </r>
  <r>
    <s v="O0270"/>
    <d v="2025-12-11T00:00:00"/>
    <s v="Bright Solutions"/>
    <x v="0"/>
    <x v="1"/>
    <s v="Accessories"/>
    <n v="3"/>
    <n v="860"/>
    <n v="2580"/>
    <s v="Distributor"/>
    <s v="Rahul"/>
    <s v="Bright Solutions"/>
  </r>
  <r>
    <s v="O0271"/>
    <d v="2025-03-24T00:00:00"/>
    <s v="Iconic Retail"/>
    <x v="3"/>
    <x v="2"/>
    <s v="Electronics"/>
    <n v="4"/>
    <n v="56020"/>
    <n v="224080"/>
    <s v="Online"/>
    <s v="Anita"/>
    <s v="Iconic Retail"/>
  </r>
  <r>
    <s v="O0272"/>
    <d v="2025-09-09T00:00:00"/>
    <s v="Alpha Traders"/>
    <x v="1"/>
    <x v="7"/>
    <s v="Furniture"/>
    <n v="2"/>
    <n v="8060"/>
    <n v="16120"/>
    <s v="Distributor"/>
    <s v="Anita"/>
    <s v="Alpha Traders"/>
  </r>
  <r>
    <s v="O0273"/>
    <d v="2025-05-04T00:00:00"/>
    <s v="Future Mart"/>
    <x v="3"/>
    <x v="8"/>
    <s v="Electronics"/>
    <n v="2"/>
    <n v="13740"/>
    <n v="27480"/>
    <s v="Retail Store"/>
    <s v="Sneha"/>
    <s v="Future Mart"/>
  </r>
  <r>
    <s v="O0274"/>
    <d v="2025-01-07T00:00:00"/>
    <s v="Nova Solutions"/>
    <x v="3"/>
    <x v="6"/>
    <s v="Furniture"/>
    <n v="3"/>
    <n v="11410"/>
    <n v="34230"/>
    <s v="Online"/>
    <s v="Sneha"/>
    <s v="Nova Solutions"/>
  </r>
  <r>
    <s v="O0275"/>
    <d v="2025-08-07T00:00:00"/>
    <s v="Future Mart"/>
    <x v="3"/>
    <x v="7"/>
    <s v="Furniture"/>
    <n v="1"/>
    <n v="8390"/>
    <n v="8390"/>
    <s v="Online"/>
    <s v="Rahul"/>
    <s v="Future Mart"/>
  </r>
  <r>
    <s v="O0276"/>
    <d v="2025-01-13T00:00:00"/>
    <s v="Royal Traders"/>
    <x v="2"/>
    <x v="9"/>
    <s v="Accessories"/>
    <n v="2"/>
    <n v="2240"/>
    <n v="4480"/>
    <s v="Online"/>
    <s v="Sneha"/>
    <s v="Royal Traders"/>
  </r>
  <r>
    <s v="O0277"/>
    <d v="2025-07-07T00:00:00"/>
    <s v="Kaveri Stores"/>
    <x v="3"/>
    <x v="7"/>
    <s v="Furniture"/>
    <n v="8"/>
    <n v="8480"/>
    <n v="67840"/>
    <s v="Online"/>
    <s v="Karan"/>
    <s v="Kaveri Stores"/>
  </r>
  <r>
    <s v="O0278"/>
    <d v="2025-02-03T00:00:00"/>
    <s v="Vertex Retail"/>
    <x v="1"/>
    <x v="0"/>
    <s v="Accessories"/>
    <n v="1"/>
    <n v="1690"/>
    <n v="1690"/>
    <s v="Retail Store"/>
    <s v="Priya"/>
    <s v="Vertex Retail"/>
  </r>
  <r>
    <s v="O0279"/>
    <d v="2025-01-21T00:00:00"/>
    <s v="Jupiter Systems"/>
    <x v="2"/>
    <x v="0"/>
    <s v="Accessories"/>
    <n v="2"/>
    <n v="1790"/>
    <n v="3580"/>
    <s v="Online"/>
    <s v="Anita"/>
    <s v="Jupiter Systems"/>
  </r>
  <r>
    <s v="O0280"/>
    <d v="2025-05-10T00:00:00"/>
    <s v="Prime Distributors"/>
    <x v="2"/>
    <x v="2"/>
    <s v="Electronics"/>
    <n v="4"/>
    <n v="55680"/>
    <n v="222720"/>
    <s v="Online"/>
    <s v="Rahul"/>
    <s v="Prime Distributors"/>
  </r>
  <r>
    <s v="O0281"/>
    <d v="2025-10-11T00:00:00"/>
    <s v="Kaveri Stores"/>
    <x v="3"/>
    <x v="5"/>
    <s v="Accessories"/>
    <n v="2"/>
    <n v="3340"/>
    <n v="6680"/>
    <s v="Retail Store"/>
    <s v="Priya"/>
    <s v="Kaveri Stores"/>
  </r>
  <r>
    <s v="O0282"/>
    <d v="2025-12-09T00:00:00"/>
    <s v="Metro Mart"/>
    <x v="3"/>
    <x v="1"/>
    <s v="Accessories"/>
    <n v="2"/>
    <n v="960"/>
    <n v="1920"/>
    <s v="Online"/>
    <s v="Karan"/>
    <s v="Metro Mart"/>
  </r>
  <r>
    <s v="O0283"/>
    <d v="2025-03-28T00:00:00"/>
    <s v="Kaveri Stores"/>
    <x v="2"/>
    <x v="4"/>
    <s v="Office Equipment"/>
    <n v="4"/>
    <n v="11580"/>
    <n v="46320"/>
    <s v="Online"/>
    <s v="Priya"/>
    <s v="Kaveri Stores"/>
  </r>
  <r>
    <s v="O0284"/>
    <d v="2025-10-04T00:00:00"/>
    <s v="Horizon Distributors"/>
    <x v="0"/>
    <x v="2"/>
    <s v="Electronics"/>
    <n v="1"/>
    <n v="55800"/>
    <n v="55800"/>
    <s v="Distributor"/>
    <s v="Vikram"/>
    <s v="Horizon Distributors"/>
  </r>
  <r>
    <s v="O0285"/>
    <d v="2025-01-28T00:00:00"/>
    <s v="Sunrise Enterprises"/>
    <x v="3"/>
    <x v="5"/>
    <s v="Accessories"/>
    <n v="10"/>
    <n v="3430"/>
    <n v="34300"/>
    <s v="Retail Store"/>
    <s v="Sneha"/>
    <s v="Sunrise Enterprises"/>
  </r>
  <r>
    <s v="O0286"/>
    <d v="2025-05-18T00:00:00"/>
    <s v="Future Mart"/>
    <x v="3"/>
    <x v="4"/>
    <s v="Office Equipment"/>
    <n v="6"/>
    <n v="11640"/>
    <n v="69840"/>
    <s v="Online"/>
    <s v="Anita"/>
    <s v="Future Mart"/>
  </r>
  <r>
    <s v="O0287"/>
    <d v="2025-10-19T00:00:00"/>
    <s v="Delta Enterprises"/>
    <x v="0"/>
    <x v="5"/>
    <s v="Accessories"/>
    <n v="4"/>
    <n v="2950"/>
    <n v="11800"/>
    <s v="Online"/>
    <s v="Anita"/>
    <s v="Delta Enterprises"/>
  </r>
  <r>
    <s v="O0288"/>
    <d v="2025-09-23T00:00:00"/>
    <s v="Delta Enterprises"/>
    <x v="1"/>
    <x v="5"/>
    <s v="Accessories"/>
    <n v="3"/>
    <n v="3400"/>
    <n v="10200"/>
    <s v="Distributor"/>
    <s v="Rahul"/>
    <s v="Delta Enterprises"/>
  </r>
  <r>
    <s v="O0289"/>
    <d v="2025-10-15T00:00:00"/>
    <s v="Bright Solutions"/>
    <x v="3"/>
    <x v="3"/>
    <s v="Electronics"/>
    <n v="4"/>
    <n v="29110"/>
    <n v="116440"/>
    <s v="Retail Store"/>
    <s v="Anita"/>
    <s v="Bright Solutions"/>
  </r>
  <r>
    <s v="O0290"/>
    <d v="2025-11-11T00:00:00"/>
    <s v="Nova Solutions"/>
    <x v="1"/>
    <x v="5"/>
    <s v="Accessories"/>
    <n v="2"/>
    <n v="3130"/>
    <n v="6260"/>
    <s v="Retail Store"/>
    <s v="Anita"/>
    <s v="Nova Solutions"/>
  </r>
  <r>
    <s v="O0291"/>
    <d v="2025-06-21T00:00:00"/>
    <s v="Sunrise Enterprises"/>
    <x v="0"/>
    <x v="8"/>
    <s v="Electronics"/>
    <n v="2"/>
    <n v="15490"/>
    <n v="30980"/>
    <s v="Online"/>
    <s v="Sneha"/>
    <s v="Sunrise Enterprises"/>
  </r>
  <r>
    <s v="O0292"/>
    <d v="2025-09-25T00:00:00"/>
    <s v="Iconic Retail"/>
    <x v="3"/>
    <x v="0"/>
    <s v="Accessories"/>
    <n v="5"/>
    <n v="1900"/>
    <n v="9500"/>
    <s v="Retail Store"/>
    <s v="Sneha"/>
    <s v="Iconic Retail"/>
  </r>
  <r>
    <s v="O0293"/>
    <d v="2025-12-26T00:00:00"/>
    <s v="Nova Solutions"/>
    <x v="3"/>
    <x v="9"/>
    <s v="Accessories"/>
    <n v="3"/>
    <n v="2320"/>
    <n v="6960"/>
    <s v="Distributor"/>
    <s v="Karan"/>
    <s v="Nova Solutions"/>
  </r>
  <r>
    <s v="O0294"/>
    <d v="2025-12-11T00:00:00"/>
    <s v="Metro Mart"/>
    <x v="0"/>
    <x v="2"/>
    <s v="Electronics"/>
    <n v="2"/>
    <n v="54110"/>
    <n v="108220"/>
    <s v="Retail Store"/>
    <s v="Sneha"/>
    <s v="Metro Mart"/>
  </r>
  <r>
    <s v="O0295"/>
    <d v="2025-03-29T00:00:00"/>
    <s v="Lotus Enterprises"/>
    <x v="2"/>
    <x v="9"/>
    <s v="Accessories"/>
    <n v="1"/>
    <n v="2360"/>
    <n v="2360"/>
    <s v="Retail Store"/>
    <s v="Priya"/>
    <s v="Lotus Enterprises"/>
  </r>
  <r>
    <s v="O0296"/>
    <d v="2025-04-28T00:00:00"/>
    <s v="Sunrise Enterprises"/>
    <x v="3"/>
    <x v="9"/>
    <s v="Accessories"/>
    <n v="5"/>
    <n v="2240"/>
    <n v="11200"/>
    <s v="Online"/>
    <s v="Vikram"/>
    <s v="Sunrise Enterprises"/>
  </r>
  <r>
    <s v="O0297"/>
    <d v="2025-04-21T00:00:00"/>
    <s v="Horizon Distributors"/>
    <x v="0"/>
    <x v="6"/>
    <s v="Furniture"/>
    <n v="4"/>
    <n v="12500"/>
    <n v="50000"/>
    <s v="Retail Store"/>
    <s v="Anita"/>
    <s v="Horizon Distributors"/>
  </r>
  <r>
    <s v="O0298"/>
    <d v="2025-08-12T00:00:00"/>
    <s v="Jupiter Systems"/>
    <x v="0"/>
    <x v="9"/>
    <s v="Accessories"/>
    <n v="6"/>
    <n v="2120"/>
    <n v="12720"/>
    <s v="Distributor"/>
    <s v="Anita"/>
    <s v="Jupiter Systems"/>
  </r>
  <r>
    <s v="O0299"/>
    <d v="2025-03-07T00:00:00"/>
    <s v="Iconic Retail"/>
    <x v="1"/>
    <x v="4"/>
    <s v="Office Equipment"/>
    <n v="5"/>
    <n v="12730"/>
    <n v="63650"/>
    <s v="Online"/>
    <s v="Anita"/>
    <s v="Iconic Retail"/>
  </r>
  <r>
    <s v="O0300"/>
    <d v="2025-02-23T00:00:00"/>
    <s v="Lotus Enterprises"/>
    <x v="2"/>
    <x v="4"/>
    <s v="Office Equipment"/>
    <n v="1"/>
    <n v="13020"/>
    <n v="13020"/>
    <s v="Retail Store"/>
    <s v="Vikram"/>
    <s v="Lotus Enterpris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728820"/>
  </r>
  <r>
    <x v="1"/>
    <n v="1151990"/>
  </r>
  <r>
    <x v="2"/>
    <n v="1436990"/>
  </r>
  <r>
    <x v="3"/>
    <n v="1541050"/>
  </r>
  <r>
    <x v="4"/>
    <n v="2609370"/>
  </r>
  <r>
    <x v="5"/>
    <n v="1211550"/>
  </r>
  <r>
    <x v="6"/>
    <n v="1248590"/>
  </r>
  <r>
    <x v="7"/>
    <n v="840840"/>
  </r>
  <r>
    <x v="8"/>
    <n v="1773180"/>
  </r>
  <r>
    <x v="9"/>
    <n v="2185110"/>
  </r>
  <r>
    <x v="10"/>
    <n v="1518710"/>
  </r>
  <r>
    <x v="11"/>
    <n v="10802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7FD96D-4C48-4AAE-9723-9ADC03C026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G9" firstHeaderRow="1" firstDataRow="1" firstDataCol="1"/>
  <pivotFields count="12">
    <pivotField showAll="0"/>
    <pivotField numFmtId="164" showAll="0"/>
    <pivotField showAll="0"/>
    <pivotField axis="axisRow" showAll="0" sortType="descending">
      <items count="6">
        <item x="3"/>
        <item x="2"/>
        <item x="0"/>
        <item x="4"/>
        <item x="1"/>
        <item t="default"/>
      </items>
      <autoSortScope>
        <pivotArea dataOnly="0" outline="0" fieldPosition="0">
          <references count="1">
            <reference field="4294967294" count="1" selected="0">
              <x v="0"/>
            </reference>
          </references>
        </pivotArea>
      </autoSortScope>
    </pivotField>
    <pivotField showAll="0">
      <items count="11">
        <item x="6"/>
        <item x="9"/>
        <item x="0"/>
        <item x="2"/>
        <item x="8"/>
        <item x="1"/>
        <item x="7"/>
        <item x="4"/>
        <item x="3"/>
        <item x="5"/>
        <item t="default"/>
      </items>
    </pivotField>
    <pivotField showAll="0"/>
    <pivotField showAll="0"/>
    <pivotField numFmtId="165" showAll="0"/>
    <pivotField dataField="1" numFmtId="165" showAll="0"/>
    <pivotField showAll="0"/>
    <pivotField showAll="0"/>
    <pivotField showAll="0"/>
  </pivotFields>
  <rowFields count="1">
    <field x="3"/>
  </rowFields>
  <rowItems count="6">
    <i>
      <x v="1"/>
    </i>
    <i>
      <x/>
    </i>
    <i>
      <x v="2"/>
    </i>
    <i>
      <x v="4"/>
    </i>
    <i>
      <x v="3"/>
    </i>
    <i t="grand">
      <x/>
    </i>
  </rowItems>
  <colItems count="1">
    <i/>
  </colItems>
  <dataFields count="1">
    <dataField name="0" fld="8" baseField="0" baseItem="0" numFmtId="165"/>
  </dataField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8BA871-E91A-46CD-9125-F4EFD51B1273}"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F12:G25" firstHeaderRow="1" firstDataRow="1" firstDataCol="1"/>
  <pivotFields count="2">
    <pivotField axis="axisRow" showAll="0">
      <items count="13">
        <item x="0"/>
        <item x="1"/>
        <item x="2"/>
        <item x="3"/>
        <item x="4"/>
        <item x="5"/>
        <item x="6"/>
        <item x="7"/>
        <item x="8"/>
        <item x="9"/>
        <item x="10"/>
        <item x="11"/>
        <item t="default"/>
      </items>
    </pivotField>
    <pivotField dataField="1" numFmtId="166" showAl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44"/>
  </dataFields>
  <formats count="2">
    <format dxfId="32">
      <pivotArea grandRow="1" outline="0" collapsedLevelsAreSubtotals="1" fieldPosition="0"/>
    </format>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ACD581-A697-4F3D-9832-2F777D88090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9:G40" firstHeaderRow="1" firstDataRow="1" firstDataCol="1"/>
  <pivotFields count="12">
    <pivotField showAll="0"/>
    <pivotField numFmtId="164" showAll="0"/>
    <pivotField showAll="0"/>
    <pivotField showAll="0">
      <items count="6">
        <item x="3"/>
        <item x="2"/>
        <item x="0"/>
        <item x="4"/>
        <item x="1"/>
        <item t="default"/>
      </items>
    </pivotField>
    <pivotField axis="axisRow" showAll="0">
      <items count="11">
        <item x="6"/>
        <item x="9"/>
        <item x="0"/>
        <item x="2"/>
        <item x="8"/>
        <item x="1"/>
        <item x="7"/>
        <item x="4"/>
        <item x="3"/>
        <item x="5"/>
        <item t="default"/>
      </items>
    </pivotField>
    <pivotField showAll="0"/>
    <pivotField showAll="0"/>
    <pivotField numFmtId="165" showAll="0"/>
    <pivotField dataField="1" numFmtId="165"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Revenue" fld="8" baseField="4" baseItem="0" numFmtId="165"/>
  </dataFields>
  <conditionalFormats count="1">
    <conditionalFormat priority="2">
      <pivotAreas count="1">
        <pivotArea type="data" collapsedLevelsAreSubtotals="1" fieldPosition="0">
          <references count="2">
            <reference field="4294967294" count="1" selected="0">
              <x v="0"/>
            </reference>
            <reference field="4" count="10">
              <x v="0"/>
              <x v="1"/>
              <x v="2"/>
              <x v="3"/>
              <x v="4"/>
              <x v="5"/>
              <x v="6"/>
              <x v="7"/>
              <x v="8"/>
              <x v="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Region" xr10:uid="{6A6675E7-D008-46CB-AF9F-00E9A658FFF2}" sourceName="Clean Region">
  <pivotTables>
    <pivotTable tabId="4" name="PivotTable1"/>
    <pivotTable tabId="4" name="PivotTable9"/>
  </pivotTables>
  <data>
    <tabular pivotCacheId="2064090815">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7037D07-0A63-445C-A879-BA207C63A8D7}" sourceName="Product">
  <pivotTables>
    <pivotTable tabId="4" name="PivotTable9"/>
    <pivotTable tabId="4" name="PivotTable1"/>
  </pivotTables>
  <data>
    <tabular pivotCacheId="2064090815">
      <items count="10">
        <i x="6" s="1"/>
        <i x="9" s="1"/>
        <i x="0" s="1"/>
        <i x="2" s="1"/>
        <i x="8" s="1"/>
        <i x="1" s="1"/>
        <i x="7"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64422CA-E6C4-4565-ABD7-18ABBEBBBCF0}" sourceName="Month">
  <pivotTables>
    <pivotTable tabId="4" name="PivotTable2"/>
  </pivotTables>
  <data>
    <tabular pivotCacheId="170078174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Region" xr10:uid="{84EE6CA3-A2C6-4D88-925F-D5721106D8A6}" cache="Slicer_Clean_Region" caption="Region Filter" rowHeight="234950"/>
  <slicer name="Product" xr10:uid="{60900EAE-79AA-43FC-9F0F-AEB7360D5253}" cache="Slicer_Product" caption="Product Filter" startItem="2" rowHeight="234950"/>
  <slicer name="Month" xr10:uid="{B1ECBF41-1156-489C-8D2A-82A636779469}"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7"/>
  <sheetViews>
    <sheetView workbookViewId="0">
      <pane ySplit="1" topLeftCell="A2" activePane="bottomLeft" state="frozen"/>
      <selection pane="bottomLeft" activeCell="G13" sqref="G13"/>
    </sheetView>
  </sheetViews>
  <sheetFormatPr defaultRowHeight="14.4" x14ac:dyDescent="0.3"/>
  <cols>
    <col min="1" max="1" width="12" customWidth="1"/>
    <col min="2" max="2" width="14" customWidth="1"/>
    <col min="3" max="3" width="22" customWidth="1"/>
    <col min="4" max="4" width="14" customWidth="1"/>
    <col min="5" max="5" width="18" customWidth="1"/>
    <col min="6" max="6" width="20" customWidth="1"/>
    <col min="7" max="7" width="10" customWidth="1"/>
    <col min="8" max="9" width="14" customWidth="1"/>
    <col min="10" max="10" width="16" customWidth="1"/>
    <col min="11" max="11" width="14"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s="2">
        <v>45846</v>
      </c>
      <c r="C2" t="s">
        <v>12</v>
      </c>
      <c r="D2" t="s">
        <v>13</v>
      </c>
      <c r="E2" t="s">
        <v>14</v>
      </c>
      <c r="F2" t="s">
        <v>15</v>
      </c>
      <c r="G2">
        <v>8</v>
      </c>
      <c r="H2" s="3">
        <v>1870</v>
      </c>
      <c r="I2" s="3">
        <v>14960</v>
      </c>
      <c r="J2" t="s">
        <v>16</v>
      </c>
      <c r="K2" t="s">
        <v>17</v>
      </c>
    </row>
    <row r="3" spans="1:11" x14ac:dyDescent="0.3">
      <c r="A3" t="s">
        <v>18</v>
      </c>
      <c r="B3" s="2">
        <v>45788</v>
      </c>
      <c r="C3" t="s">
        <v>19</v>
      </c>
      <c r="D3" t="s">
        <v>20</v>
      </c>
      <c r="E3" t="s">
        <v>21</v>
      </c>
      <c r="F3" t="s">
        <v>15</v>
      </c>
      <c r="G3">
        <v>2</v>
      </c>
      <c r="H3" s="3">
        <v>850</v>
      </c>
      <c r="I3" s="3">
        <v>1700</v>
      </c>
      <c r="J3" t="s">
        <v>22</v>
      </c>
      <c r="K3" t="s">
        <v>23</v>
      </c>
    </row>
    <row r="4" spans="1:11" x14ac:dyDescent="0.3">
      <c r="A4" t="s">
        <v>24</v>
      </c>
      <c r="B4" s="2">
        <v>45971</v>
      </c>
      <c r="C4" t="s">
        <v>25</v>
      </c>
      <c r="D4" t="s">
        <v>26</v>
      </c>
      <c r="E4" t="s">
        <v>27</v>
      </c>
      <c r="F4" t="s">
        <v>28</v>
      </c>
      <c r="G4">
        <v>10</v>
      </c>
      <c r="H4" s="3">
        <v>52980</v>
      </c>
      <c r="I4" s="3">
        <v>529800</v>
      </c>
      <c r="J4" t="s">
        <v>29</v>
      </c>
      <c r="K4" t="s">
        <v>17</v>
      </c>
    </row>
    <row r="5" spans="1:11" x14ac:dyDescent="0.3">
      <c r="A5" t="s">
        <v>30</v>
      </c>
      <c r="B5" s="2">
        <v>45928</v>
      </c>
      <c r="C5" t="s">
        <v>31</v>
      </c>
      <c r="D5" t="s">
        <v>13</v>
      </c>
      <c r="E5" t="s">
        <v>32</v>
      </c>
      <c r="F5" t="s">
        <v>28</v>
      </c>
      <c r="G5">
        <v>1</v>
      </c>
      <c r="H5" s="3">
        <v>27070</v>
      </c>
      <c r="I5" s="3">
        <v>27070</v>
      </c>
      <c r="J5" t="s">
        <v>16</v>
      </c>
      <c r="K5" t="s">
        <v>33</v>
      </c>
    </row>
    <row r="6" spans="1:11" x14ac:dyDescent="0.3">
      <c r="A6" t="s">
        <v>34</v>
      </c>
      <c r="B6" s="2">
        <v>45964</v>
      </c>
      <c r="C6" t="s">
        <v>12</v>
      </c>
      <c r="D6" t="s">
        <v>26</v>
      </c>
      <c r="E6" t="s">
        <v>35</v>
      </c>
      <c r="F6" t="s">
        <v>36</v>
      </c>
      <c r="G6">
        <v>4</v>
      </c>
      <c r="H6" s="3">
        <v>11590</v>
      </c>
      <c r="I6" s="3">
        <v>46360</v>
      </c>
      <c r="J6" t="s">
        <v>29</v>
      </c>
      <c r="K6" t="s">
        <v>37</v>
      </c>
    </row>
    <row r="7" spans="1:11" x14ac:dyDescent="0.3">
      <c r="A7" t="s">
        <v>38</v>
      </c>
      <c r="B7" s="2">
        <v>45922</v>
      </c>
      <c r="C7" t="s">
        <v>19</v>
      </c>
      <c r="D7" t="s">
        <v>20</v>
      </c>
      <c r="E7" t="s">
        <v>39</v>
      </c>
      <c r="F7" t="s">
        <v>15</v>
      </c>
      <c r="G7">
        <v>10</v>
      </c>
      <c r="H7" s="3">
        <v>3360</v>
      </c>
      <c r="I7" s="3">
        <v>33600</v>
      </c>
      <c r="J7" t="s">
        <v>16</v>
      </c>
      <c r="K7" t="s">
        <v>33</v>
      </c>
    </row>
    <row r="8" spans="1:11" x14ac:dyDescent="0.3">
      <c r="A8" t="s">
        <v>40</v>
      </c>
      <c r="B8" s="2">
        <v>45863</v>
      </c>
      <c r="C8" t="s">
        <v>41</v>
      </c>
      <c r="D8" t="s">
        <v>20</v>
      </c>
      <c r="E8" t="s">
        <v>27</v>
      </c>
      <c r="F8" t="s">
        <v>28</v>
      </c>
      <c r="G8">
        <v>3</v>
      </c>
      <c r="H8" s="3">
        <v>48130</v>
      </c>
      <c r="I8" s="3">
        <v>144390</v>
      </c>
      <c r="J8" t="s">
        <v>22</v>
      </c>
      <c r="K8" t="s">
        <v>33</v>
      </c>
    </row>
    <row r="9" spans="1:11" x14ac:dyDescent="0.3">
      <c r="A9" t="s">
        <v>42</v>
      </c>
      <c r="B9" s="2">
        <v>45967</v>
      </c>
      <c r="C9" t="s">
        <v>43</v>
      </c>
      <c r="D9" t="s">
        <v>13</v>
      </c>
      <c r="E9" t="s">
        <v>14</v>
      </c>
      <c r="F9" t="s">
        <v>15</v>
      </c>
      <c r="G9">
        <v>3</v>
      </c>
      <c r="H9" s="3">
        <v>1810</v>
      </c>
      <c r="I9" s="3">
        <v>5430</v>
      </c>
      <c r="J9" t="s">
        <v>22</v>
      </c>
      <c r="K9" t="s">
        <v>37</v>
      </c>
    </row>
    <row r="10" spans="1:11" x14ac:dyDescent="0.3">
      <c r="A10" t="s">
        <v>44</v>
      </c>
      <c r="B10" s="2">
        <v>45872</v>
      </c>
      <c r="C10" t="s">
        <v>45</v>
      </c>
      <c r="D10" t="s">
        <v>26</v>
      </c>
      <c r="E10" t="s">
        <v>46</v>
      </c>
      <c r="F10" t="s">
        <v>47</v>
      </c>
      <c r="G10">
        <v>4</v>
      </c>
      <c r="H10" s="3">
        <v>12810</v>
      </c>
      <c r="I10" s="3">
        <v>51240</v>
      </c>
      <c r="J10" t="s">
        <v>29</v>
      </c>
      <c r="K10" t="s">
        <v>37</v>
      </c>
    </row>
    <row r="11" spans="1:11" x14ac:dyDescent="0.3">
      <c r="A11" t="s">
        <v>48</v>
      </c>
      <c r="B11" s="2">
        <v>45845</v>
      </c>
      <c r="C11" t="s">
        <v>49</v>
      </c>
      <c r="D11" t="s">
        <v>26</v>
      </c>
      <c r="E11" t="s">
        <v>35</v>
      </c>
      <c r="F11" t="s">
        <v>36</v>
      </c>
      <c r="G11">
        <v>4</v>
      </c>
      <c r="H11" s="3">
        <v>13430</v>
      </c>
      <c r="I11" s="3">
        <v>53720</v>
      </c>
      <c r="J11" t="s">
        <v>29</v>
      </c>
      <c r="K11" t="s">
        <v>50</v>
      </c>
    </row>
    <row r="12" spans="1:11" x14ac:dyDescent="0.3">
      <c r="A12" t="s">
        <v>51</v>
      </c>
      <c r="B12" s="2">
        <v>45793</v>
      </c>
      <c r="C12" t="s">
        <v>52</v>
      </c>
      <c r="D12" t="s">
        <v>53</v>
      </c>
      <c r="E12" t="s">
        <v>27</v>
      </c>
      <c r="F12" t="s">
        <v>28</v>
      </c>
      <c r="G12">
        <v>10</v>
      </c>
      <c r="H12" s="3">
        <v>54270</v>
      </c>
      <c r="I12" s="3">
        <v>542700</v>
      </c>
      <c r="J12" t="s">
        <v>29</v>
      </c>
      <c r="K12" t="s">
        <v>17</v>
      </c>
    </row>
    <row r="13" spans="1:11" x14ac:dyDescent="0.3">
      <c r="A13" t="s">
        <v>54</v>
      </c>
      <c r="B13" s="2">
        <v>45698</v>
      </c>
      <c r="C13" t="s">
        <v>12</v>
      </c>
      <c r="D13" t="s">
        <v>26</v>
      </c>
      <c r="E13" t="s">
        <v>55</v>
      </c>
      <c r="F13" t="s">
        <v>47</v>
      </c>
      <c r="G13">
        <v>4</v>
      </c>
      <c r="H13" s="3">
        <v>9080</v>
      </c>
      <c r="I13" s="3">
        <v>36320</v>
      </c>
      <c r="J13" t="s">
        <v>22</v>
      </c>
      <c r="K13" t="s">
        <v>56</v>
      </c>
    </row>
    <row r="14" spans="1:11" x14ac:dyDescent="0.3">
      <c r="A14" t="s">
        <v>57</v>
      </c>
      <c r="B14" s="2">
        <v>45756</v>
      </c>
      <c r="C14" t="s">
        <v>25</v>
      </c>
      <c r="D14" t="s">
        <v>58</v>
      </c>
      <c r="E14" t="s">
        <v>27</v>
      </c>
      <c r="F14" t="s">
        <v>28</v>
      </c>
      <c r="G14">
        <v>2</v>
      </c>
      <c r="H14" s="3">
        <v>50550</v>
      </c>
      <c r="I14" s="3">
        <v>101100</v>
      </c>
      <c r="J14" t="s">
        <v>22</v>
      </c>
      <c r="K14" t="s">
        <v>17</v>
      </c>
    </row>
    <row r="15" spans="1:11" x14ac:dyDescent="0.3">
      <c r="A15" t="s">
        <v>59</v>
      </c>
      <c r="B15" s="2">
        <v>45788</v>
      </c>
      <c r="C15" t="s">
        <v>60</v>
      </c>
      <c r="D15" t="s">
        <v>26</v>
      </c>
      <c r="E15" t="s">
        <v>32</v>
      </c>
      <c r="F15" t="s">
        <v>28</v>
      </c>
      <c r="G15">
        <v>2</v>
      </c>
      <c r="H15" s="3">
        <v>30110</v>
      </c>
      <c r="I15" s="3">
        <v>60220</v>
      </c>
      <c r="J15" t="s">
        <v>22</v>
      </c>
      <c r="K15" t="s">
        <v>23</v>
      </c>
    </row>
    <row r="16" spans="1:11" x14ac:dyDescent="0.3">
      <c r="A16" t="s">
        <v>61</v>
      </c>
      <c r="B16" s="2">
        <v>45699</v>
      </c>
      <c r="C16" t="s">
        <v>49</v>
      </c>
      <c r="D16" t="s">
        <v>53</v>
      </c>
      <c r="E16" t="s">
        <v>35</v>
      </c>
      <c r="F16" t="s">
        <v>36</v>
      </c>
      <c r="G16">
        <v>3</v>
      </c>
      <c r="H16" s="3">
        <v>12360</v>
      </c>
      <c r="I16" s="3">
        <v>37080</v>
      </c>
      <c r="J16" t="s">
        <v>16</v>
      </c>
      <c r="K16" t="s">
        <v>56</v>
      </c>
    </row>
    <row r="17" spans="1:11" x14ac:dyDescent="0.3">
      <c r="A17" t="s">
        <v>62</v>
      </c>
      <c r="B17" s="2">
        <v>45888</v>
      </c>
      <c r="C17" t="s">
        <v>49</v>
      </c>
      <c r="D17" t="s">
        <v>53</v>
      </c>
      <c r="E17" t="s">
        <v>14</v>
      </c>
      <c r="F17" t="s">
        <v>15</v>
      </c>
      <c r="G17">
        <v>3</v>
      </c>
      <c r="H17" s="3">
        <v>1920</v>
      </c>
      <c r="I17" s="3">
        <v>5760</v>
      </c>
      <c r="J17" t="s">
        <v>16</v>
      </c>
      <c r="K17" t="s">
        <v>50</v>
      </c>
    </row>
    <row r="18" spans="1:11" x14ac:dyDescent="0.3">
      <c r="A18" t="s">
        <v>63</v>
      </c>
      <c r="B18" s="2">
        <v>45743</v>
      </c>
      <c r="C18" t="s">
        <v>19</v>
      </c>
      <c r="D18" t="s">
        <v>13</v>
      </c>
      <c r="E18" t="s">
        <v>64</v>
      </c>
      <c r="F18" t="s">
        <v>28</v>
      </c>
      <c r="G18">
        <v>1</v>
      </c>
      <c r="H18" s="3">
        <v>14010</v>
      </c>
      <c r="I18" s="3">
        <v>14010</v>
      </c>
      <c r="J18" t="s">
        <v>29</v>
      </c>
      <c r="K18" t="s">
        <v>23</v>
      </c>
    </row>
    <row r="19" spans="1:11" x14ac:dyDescent="0.3">
      <c r="A19" t="s">
        <v>65</v>
      </c>
      <c r="B19" s="2">
        <v>45701</v>
      </c>
      <c r="C19" t="s">
        <v>66</v>
      </c>
      <c r="D19" t="s">
        <v>13</v>
      </c>
      <c r="E19" t="s">
        <v>32</v>
      </c>
      <c r="F19" t="s">
        <v>28</v>
      </c>
      <c r="G19">
        <v>6</v>
      </c>
      <c r="H19" s="3">
        <v>29360</v>
      </c>
      <c r="I19" s="3">
        <v>176160</v>
      </c>
      <c r="J19" t="s">
        <v>22</v>
      </c>
      <c r="K19" t="s">
        <v>17</v>
      </c>
    </row>
    <row r="20" spans="1:11" x14ac:dyDescent="0.3">
      <c r="A20" t="s">
        <v>67</v>
      </c>
      <c r="B20" s="2">
        <v>45847</v>
      </c>
      <c r="C20" t="s">
        <v>60</v>
      </c>
      <c r="D20" t="s">
        <v>26</v>
      </c>
      <c r="E20" t="s">
        <v>14</v>
      </c>
      <c r="F20" t="s">
        <v>15</v>
      </c>
      <c r="G20">
        <v>1</v>
      </c>
      <c r="H20" s="3">
        <v>1760</v>
      </c>
      <c r="I20" s="3">
        <v>1760</v>
      </c>
      <c r="J20" t="s">
        <v>29</v>
      </c>
      <c r="K20" t="s">
        <v>17</v>
      </c>
    </row>
    <row r="21" spans="1:11" x14ac:dyDescent="0.3">
      <c r="A21" t="s">
        <v>68</v>
      </c>
      <c r="B21" s="2">
        <v>46016</v>
      </c>
      <c r="C21" t="s">
        <v>69</v>
      </c>
      <c r="D21" t="s">
        <v>20</v>
      </c>
      <c r="E21" t="s">
        <v>21</v>
      </c>
      <c r="F21" t="s">
        <v>15</v>
      </c>
      <c r="G21">
        <v>5</v>
      </c>
      <c r="H21" s="3">
        <v>950</v>
      </c>
      <c r="I21" s="3">
        <v>4750</v>
      </c>
      <c r="J21" t="s">
        <v>16</v>
      </c>
      <c r="K21" t="s">
        <v>56</v>
      </c>
    </row>
    <row r="22" spans="1:11" x14ac:dyDescent="0.3">
      <c r="A22" t="s">
        <v>70</v>
      </c>
      <c r="B22" s="2">
        <v>45809</v>
      </c>
      <c r="C22" t="s">
        <v>31</v>
      </c>
      <c r="D22" t="s">
        <v>53</v>
      </c>
      <c r="E22" t="s">
        <v>35</v>
      </c>
      <c r="F22" t="s">
        <v>36</v>
      </c>
      <c r="G22">
        <v>4</v>
      </c>
      <c r="H22" s="3">
        <v>12040</v>
      </c>
      <c r="I22" s="3">
        <v>48160</v>
      </c>
      <c r="J22" t="s">
        <v>22</v>
      </c>
      <c r="K22" t="s">
        <v>56</v>
      </c>
    </row>
    <row r="23" spans="1:11" x14ac:dyDescent="0.3">
      <c r="A23" t="s">
        <v>71</v>
      </c>
      <c r="B23" s="2">
        <v>45925</v>
      </c>
      <c r="C23" t="s">
        <v>12</v>
      </c>
      <c r="D23" t="s">
        <v>13</v>
      </c>
      <c r="E23" t="s">
        <v>21</v>
      </c>
      <c r="F23" t="s">
        <v>15</v>
      </c>
      <c r="G23">
        <v>1</v>
      </c>
      <c r="H23" s="3">
        <v>860</v>
      </c>
      <c r="I23" s="3">
        <v>860</v>
      </c>
      <c r="J23" t="s">
        <v>16</v>
      </c>
      <c r="K23" t="s">
        <v>56</v>
      </c>
    </row>
    <row r="24" spans="1:11" x14ac:dyDescent="0.3">
      <c r="A24" t="s">
        <v>72</v>
      </c>
      <c r="B24" s="2">
        <v>45659</v>
      </c>
      <c r="C24" t="s">
        <v>19</v>
      </c>
      <c r="D24" t="s">
        <v>20</v>
      </c>
      <c r="E24" t="s">
        <v>64</v>
      </c>
      <c r="F24" t="s">
        <v>28</v>
      </c>
      <c r="G24">
        <v>10</v>
      </c>
      <c r="H24" s="3">
        <v>13960</v>
      </c>
      <c r="I24" s="3">
        <v>139600</v>
      </c>
      <c r="J24" t="s">
        <v>22</v>
      </c>
      <c r="K24" t="s">
        <v>50</v>
      </c>
    </row>
    <row r="25" spans="1:11" x14ac:dyDescent="0.3">
      <c r="A25" t="s">
        <v>73</v>
      </c>
      <c r="B25" s="2">
        <v>45710</v>
      </c>
      <c r="C25" t="s">
        <v>25</v>
      </c>
      <c r="D25" t="s">
        <v>13</v>
      </c>
      <c r="E25" t="s">
        <v>14</v>
      </c>
      <c r="F25" t="s">
        <v>15</v>
      </c>
      <c r="G25">
        <v>4</v>
      </c>
      <c r="H25" s="3">
        <v>1850</v>
      </c>
      <c r="I25" s="3">
        <v>7400</v>
      </c>
      <c r="J25" t="s">
        <v>22</v>
      </c>
      <c r="K25" t="s">
        <v>33</v>
      </c>
    </row>
    <row r="26" spans="1:11" x14ac:dyDescent="0.3">
      <c r="A26" t="s">
        <v>74</v>
      </c>
      <c r="B26" s="2">
        <v>45951</v>
      </c>
      <c r="C26" t="s">
        <v>75</v>
      </c>
      <c r="D26" t="s">
        <v>20</v>
      </c>
      <c r="E26" t="s">
        <v>27</v>
      </c>
      <c r="F26" t="s">
        <v>28</v>
      </c>
      <c r="G26">
        <v>2</v>
      </c>
      <c r="H26" s="3">
        <v>49850</v>
      </c>
      <c r="I26" s="3">
        <v>99700</v>
      </c>
      <c r="J26" t="s">
        <v>22</v>
      </c>
      <c r="K26" t="s">
        <v>23</v>
      </c>
    </row>
    <row r="27" spans="1:11" x14ac:dyDescent="0.3">
      <c r="A27" t="s">
        <v>76</v>
      </c>
      <c r="B27" s="2">
        <v>45858</v>
      </c>
      <c r="C27" t="s">
        <v>69</v>
      </c>
      <c r="D27" t="s">
        <v>20</v>
      </c>
      <c r="E27" t="s">
        <v>21</v>
      </c>
      <c r="F27" t="s">
        <v>15</v>
      </c>
      <c r="G27">
        <v>5</v>
      </c>
      <c r="H27" s="3">
        <v>940</v>
      </c>
      <c r="I27" s="3">
        <v>4700</v>
      </c>
      <c r="K27" t="s">
        <v>17</v>
      </c>
    </row>
    <row r="28" spans="1:11" x14ac:dyDescent="0.3">
      <c r="A28" t="s">
        <v>77</v>
      </c>
      <c r="B28" s="2">
        <v>45804</v>
      </c>
      <c r="C28" t="s">
        <v>66</v>
      </c>
      <c r="D28" t="s">
        <v>20</v>
      </c>
      <c r="E28" t="s">
        <v>32</v>
      </c>
      <c r="F28" t="s">
        <v>28</v>
      </c>
      <c r="G28">
        <v>4</v>
      </c>
      <c r="H28" s="3">
        <v>25830</v>
      </c>
      <c r="I28" s="3">
        <v>103320</v>
      </c>
      <c r="J28" t="s">
        <v>16</v>
      </c>
      <c r="K28" t="s">
        <v>33</v>
      </c>
    </row>
    <row r="29" spans="1:11" x14ac:dyDescent="0.3">
      <c r="A29" t="s">
        <v>78</v>
      </c>
      <c r="B29" s="2">
        <v>46017</v>
      </c>
      <c r="C29" t="s">
        <v>60</v>
      </c>
      <c r="D29" t="s">
        <v>53</v>
      </c>
      <c r="E29" t="s">
        <v>39</v>
      </c>
      <c r="F29" t="s">
        <v>15</v>
      </c>
      <c r="G29">
        <v>2</v>
      </c>
      <c r="H29" s="3">
        <v>3210</v>
      </c>
      <c r="I29" s="3">
        <v>6420</v>
      </c>
      <c r="J29" t="s">
        <v>29</v>
      </c>
      <c r="K29" t="s">
        <v>56</v>
      </c>
    </row>
    <row r="30" spans="1:11" x14ac:dyDescent="0.3">
      <c r="A30" t="s">
        <v>79</v>
      </c>
      <c r="B30" s="2">
        <v>45920</v>
      </c>
      <c r="C30" t="s">
        <v>80</v>
      </c>
      <c r="D30" t="s">
        <v>13</v>
      </c>
      <c r="E30" t="s">
        <v>64</v>
      </c>
      <c r="F30" t="s">
        <v>28</v>
      </c>
      <c r="G30">
        <v>3</v>
      </c>
      <c r="H30" s="3">
        <v>14950</v>
      </c>
      <c r="I30" s="3">
        <v>44850</v>
      </c>
      <c r="J30" t="s">
        <v>29</v>
      </c>
      <c r="K30" t="s">
        <v>33</v>
      </c>
    </row>
    <row r="31" spans="1:11" x14ac:dyDescent="0.3">
      <c r="A31" t="s">
        <v>81</v>
      </c>
      <c r="B31" s="2">
        <v>45797</v>
      </c>
      <c r="C31" t="s">
        <v>75</v>
      </c>
      <c r="D31" t="s">
        <v>26</v>
      </c>
      <c r="E31" t="s">
        <v>35</v>
      </c>
      <c r="F31" t="s">
        <v>36</v>
      </c>
      <c r="G31">
        <v>2</v>
      </c>
      <c r="H31" s="3">
        <v>11690</v>
      </c>
      <c r="I31" s="3">
        <v>23380</v>
      </c>
      <c r="J31" t="s">
        <v>16</v>
      </c>
      <c r="K31" t="s">
        <v>56</v>
      </c>
    </row>
    <row r="32" spans="1:11" x14ac:dyDescent="0.3">
      <c r="A32" t="s">
        <v>82</v>
      </c>
      <c r="B32" s="2">
        <v>45809</v>
      </c>
      <c r="C32" t="s">
        <v>60</v>
      </c>
      <c r="D32" t="s">
        <v>20</v>
      </c>
      <c r="E32" t="s">
        <v>14</v>
      </c>
      <c r="F32" t="s">
        <v>15</v>
      </c>
      <c r="G32">
        <v>4</v>
      </c>
      <c r="H32" s="3">
        <v>1900</v>
      </c>
      <c r="I32" s="3">
        <v>7600</v>
      </c>
      <c r="J32" t="s">
        <v>16</v>
      </c>
      <c r="K32" t="s">
        <v>56</v>
      </c>
    </row>
    <row r="33" spans="1:11" x14ac:dyDescent="0.3">
      <c r="A33" t="s">
        <v>83</v>
      </c>
      <c r="B33" s="2">
        <v>45884</v>
      </c>
      <c r="C33" t="s">
        <v>80</v>
      </c>
      <c r="D33" t="s">
        <v>13</v>
      </c>
      <c r="E33" t="s">
        <v>64</v>
      </c>
      <c r="F33" t="s">
        <v>28</v>
      </c>
      <c r="G33">
        <v>6</v>
      </c>
      <c r="H33" s="3">
        <v>14750</v>
      </c>
      <c r="I33" s="3">
        <v>88500</v>
      </c>
      <c r="J33" t="s">
        <v>29</v>
      </c>
      <c r="K33" t="s">
        <v>17</v>
      </c>
    </row>
    <row r="34" spans="1:11" x14ac:dyDescent="0.3">
      <c r="A34" t="s">
        <v>84</v>
      </c>
      <c r="B34" s="2">
        <v>45851</v>
      </c>
      <c r="C34" t="s">
        <v>85</v>
      </c>
      <c r="D34" t="s">
        <v>20</v>
      </c>
      <c r="E34" t="s">
        <v>39</v>
      </c>
      <c r="F34" t="s">
        <v>15</v>
      </c>
      <c r="G34">
        <v>2</v>
      </c>
      <c r="H34" s="3">
        <v>3100</v>
      </c>
      <c r="I34" s="3">
        <v>6200</v>
      </c>
      <c r="J34" t="s">
        <v>29</v>
      </c>
      <c r="K34" t="s">
        <v>56</v>
      </c>
    </row>
    <row r="35" spans="1:11" x14ac:dyDescent="0.3">
      <c r="A35" t="s">
        <v>86</v>
      </c>
      <c r="B35" s="2">
        <v>45961</v>
      </c>
      <c r="C35" t="s">
        <v>87</v>
      </c>
      <c r="D35" t="s">
        <v>20</v>
      </c>
      <c r="E35" t="s">
        <v>64</v>
      </c>
      <c r="F35" t="s">
        <v>28</v>
      </c>
      <c r="G35">
        <v>1</v>
      </c>
      <c r="H35" s="3">
        <v>14490</v>
      </c>
      <c r="I35" s="3">
        <v>14490</v>
      </c>
      <c r="J35" t="s">
        <v>16</v>
      </c>
      <c r="K35" t="s">
        <v>17</v>
      </c>
    </row>
    <row r="36" spans="1:11" x14ac:dyDescent="0.3">
      <c r="A36" t="s">
        <v>88</v>
      </c>
      <c r="B36" s="2">
        <v>45679</v>
      </c>
      <c r="C36" t="s">
        <v>89</v>
      </c>
      <c r="D36" t="s">
        <v>13</v>
      </c>
      <c r="E36" t="s">
        <v>32</v>
      </c>
      <c r="F36" t="s">
        <v>28</v>
      </c>
      <c r="G36">
        <v>3</v>
      </c>
      <c r="H36" s="3">
        <v>26180</v>
      </c>
      <c r="I36" s="3">
        <v>78540</v>
      </c>
      <c r="J36" t="s">
        <v>22</v>
      </c>
      <c r="K36" t="s">
        <v>23</v>
      </c>
    </row>
    <row r="37" spans="1:11" x14ac:dyDescent="0.3">
      <c r="A37" t="s">
        <v>90</v>
      </c>
      <c r="B37" s="2">
        <v>45883</v>
      </c>
      <c r="C37" t="s">
        <v>60</v>
      </c>
      <c r="D37" t="s">
        <v>20</v>
      </c>
      <c r="E37" t="s">
        <v>21</v>
      </c>
      <c r="F37" t="s">
        <v>15</v>
      </c>
      <c r="G37">
        <v>6</v>
      </c>
      <c r="H37" s="3">
        <v>920</v>
      </c>
      <c r="I37" s="3">
        <v>5520</v>
      </c>
      <c r="J37" t="s">
        <v>16</v>
      </c>
      <c r="K37" t="s">
        <v>56</v>
      </c>
    </row>
    <row r="38" spans="1:11" x14ac:dyDescent="0.3">
      <c r="A38" t="s">
        <v>91</v>
      </c>
      <c r="B38" s="2">
        <v>45692</v>
      </c>
      <c r="C38" t="s">
        <v>41</v>
      </c>
      <c r="D38" t="s">
        <v>20</v>
      </c>
      <c r="E38" t="s">
        <v>64</v>
      </c>
      <c r="F38" t="s">
        <v>28</v>
      </c>
      <c r="G38">
        <v>4</v>
      </c>
      <c r="H38" s="3">
        <v>13990</v>
      </c>
      <c r="I38" s="3">
        <v>55960</v>
      </c>
      <c r="J38" t="s">
        <v>29</v>
      </c>
      <c r="K38" t="s">
        <v>33</v>
      </c>
    </row>
    <row r="39" spans="1:11" x14ac:dyDescent="0.3">
      <c r="A39" t="s">
        <v>92</v>
      </c>
      <c r="B39" s="2">
        <v>45756</v>
      </c>
      <c r="C39" t="s">
        <v>93</v>
      </c>
      <c r="D39" t="s">
        <v>26</v>
      </c>
      <c r="E39" t="s">
        <v>39</v>
      </c>
      <c r="F39" t="s">
        <v>15</v>
      </c>
      <c r="G39">
        <v>8</v>
      </c>
      <c r="H39" s="3">
        <v>3410</v>
      </c>
      <c r="I39" s="3">
        <v>27280</v>
      </c>
      <c r="J39" t="s">
        <v>29</v>
      </c>
      <c r="K39" t="s">
        <v>56</v>
      </c>
    </row>
    <row r="40" spans="1:11" x14ac:dyDescent="0.3">
      <c r="A40" t="s">
        <v>94</v>
      </c>
      <c r="B40" s="2">
        <v>45773</v>
      </c>
      <c r="C40" t="s">
        <v>60</v>
      </c>
      <c r="D40" t="s">
        <v>20</v>
      </c>
      <c r="E40" t="s">
        <v>35</v>
      </c>
      <c r="F40" t="s">
        <v>36</v>
      </c>
      <c r="G40">
        <v>3</v>
      </c>
      <c r="H40" s="3">
        <v>13460</v>
      </c>
      <c r="I40" s="3">
        <v>40380</v>
      </c>
      <c r="J40" t="s">
        <v>16</v>
      </c>
      <c r="K40" t="s">
        <v>37</v>
      </c>
    </row>
    <row r="41" spans="1:11" x14ac:dyDescent="0.3">
      <c r="A41" t="s">
        <v>95</v>
      </c>
      <c r="B41" s="2">
        <v>46017</v>
      </c>
      <c r="C41" t="s">
        <v>89</v>
      </c>
      <c r="D41" t="s">
        <v>20</v>
      </c>
      <c r="E41" t="s">
        <v>35</v>
      </c>
      <c r="F41" t="s">
        <v>36</v>
      </c>
      <c r="G41">
        <v>8</v>
      </c>
      <c r="H41" s="3">
        <v>12890</v>
      </c>
      <c r="I41" s="3">
        <v>103120</v>
      </c>
      <c r="J41" t="s">
        <v>22</v>
      </c>
      <c r="K41" t="s">
        <v>23</v>
      </c>
    </row>
    <row r="42" spans="1:11" x14ac:dyDescent="0.3">
      <c r="A42" t="s">
        <v>96</v>
      </c>
      <c r="B42" s="2">
        <v>45930</v>
      </c>
      <c r="C42" t="s">
        <v>45</v>
      </c>
      <c r="D42" t="s">
        <v>26</v>
      </c>
      <c r="E42" t="s">
        <v>14</v>
      </c>
      <c r="F42" t="s">
        <v>15</v>
      </c>
      <c r="G42">
        <v>2</v>
      </c>
      <c r="H42" s="3">
        <v>1740</v>
      </c>
      <c r="I42" s="3">
        <v>3480</v>
      </c>
      <c r="J42" t="s">
        <v>29</v>
      </c>
      <c r="K42" t="s">
        <v>17</v>
      </c>
    </row>
    <row r="43" spans="1:11" x14ac:dyDescent="0.3">
      <c r="A43" t="s">
        <v>97</v>
      </c>
      <c r="B43" s="2">
        <v>45683</v>
      </c>
      <c r="C43" t="s">
        <v>85</v>
      </c>
      <c r="D43" t="s">
        <v>13</v>
      </c>
      <c r="E43" t="s">
        <v>98</v>
      </c>
      <c r="F43" t="s">
        <v>15</v>
      </c>
      <c r="G43">
        <v>3</v>
      </c>
      <c r="H43" s="3">
        <v>2130</v>
      </c>
      <c r="I43" s="3">
        <v>6390</v>
      </c>
      <c r="J43" t="s">
        <v>29</v>
      </c>
      <c r="K43" t="s">
        <v>50</v>
      </c>
    </row>
    <row r="44" spans="1:11" x14ac:dyDescent="0.3">
      <c r="A44" t="s">
        <v>99</v>
      </c>
      <c r="B44" s="2">
        <v>45677</v>
      </c>
      <c r="C44" t="s">
        <v>60</v>
      </c>
      <c r="D44" t="s">
        <v>20</v>
      </c>
      <c r="E44" t="s">
        <v>27</v>
      </c>
      <c r="F44" t="s">
        <v>28</v>
      </c>
      <c r="G44">
        <v>1</v>
      </c>
      <c r="H44" s="3">
        <v>53060</v>
      </c>
      <c r="I44" s="3">
        <v>53060</v>
      </c>
      <c r="J44" t="s">
        <v>22</v>
      </c>
      <c r="K44" t="s">
        <v>23</v>
      </c>
    </row>
    <row r="45" spans="1:11" x14ac:dyDescent="0.3">
      <c r="A45" t="s">
        <v>100</v>
      </c>
      <c r="B45" s="2">
        <v>45979</v>
      </c>
      <c r="C45" t="s">
        <v>101</v>
      </c>
      <c r="D45" t="s">
        <v>26</v>
      </c>
      <c r="E45" t="s">
        <v>46</v>
      </c>
      <c r="F45" t="s">
        <v>47</v>
      </c>
      <c r="G45">
        <v>2</v>
      </c>
      <c r="H45" s="3">
        <v>11760</v>
      </c>
      <c r="I45" s="3">
        <v>23520</v>
      </c>
      <c r="J45" t="s">
        <v>22</v>
      </c>
      <c r="K45" t="s">
        <v>23</v>
      </c>
    </row>
    <row r="46" spans="1:11" x14ac:dyDescent="0.3">
      <c r="A46" t="s">
        <v>102</v>
      </c>
      <c r="B46" s="2">
        <v>45837</v>
      </c>
      <c r="C46" t="s">
        <v>103</v>
      </c>
      <c r="D46" t="s">
        <v>13</v>
      </c>
      <c r="E46" t="s">
        <v>14</v>
      </c>
      <c r="F46" t="s">
        <v>15</v>
      </c>
      <c r="G46">
        <v>4</v>
      </c>
      <c r="H46" s="3">
        <v>1660</v>
      </c>
      <c r="I46" s="3">
        <v>6640</v>
      </c>
      <c r="J46" t="s">
        <v>16</v>
      </c>
      <c r="K46" t="s">
        <v>23</v>
      </c>
    </row>
    <row r="47" spans="1:11" x14ac:dyDescent="0.3">
      <c r="A47" t="s">
        <v>104</v>
      </c>
      <c r="B47" s="2">
        <v>45717</v>
      </c>
      <c r="C47" t="s">
        <v>25</v>
      </c>
      <c r="D47" t="s">
        <v>20</v>
      </c>
      <c r="E47" t="s">
        <v>35</v>
      </c>
      <c r="F47" t="s">
        <v>36</v>
      </c>
      <c r="G47">
        <v>2</v>
      </c>
      <c r="H47" s="3">
        <v>13160</v>
      </c>
      <c r="I47" s="3">
        <v>26320</v>
      </c>
      <c r="J47" t="s">
        <v>29</v>
      </c>
      <c r="K47" t="s">
        <v>33</v>
      </c>
    </row>
    <row r="48" spans="1:11" x14ac:dyDescent="0.3">
      <c r="A48" t="s">
        <v>105</v>
      </c>
      <c r="B48" s="2">
        <v>46012</v>
      </c>
      <c r="C48" t="s">
        <v>45</v>
      </c>
      <c r="D48" t="s">
        <v>20</v>
      </c>
      <c r="E48" t="s">
        <v>46</v>
      </c>
      <c r="F48" t="s">
        <v>47</v>
      </c>
      <c r="G48">
        <v>2</v>
      </c>
      <c r="H48" s="3">
        <v>11830</v>
      </c>
      <c r="I48" s="3">
        <v>23660</v>
      </c>
      <c r="J48" t="s">
        <v>29</v>
      </c>
      <c r="K48" t="s">
        <v>37</v>
      </c>
    </row>
    <row r="49" spans="1:11" x14ac:dyDescent="0.3">
      <c r="A49" t="s">
        <v>106</v>
      </c>
      <c r="B49" s="2">
        <v>45976</v>
      </c>
      <c r="C49" t="s">
        <v>101</v>
      </c>
      <c r="D49" t="s">
        <v>107</v>
      </c>
      <c r="E49" t="s">
        <v>35</v>
      </c>
      <c r="F49" t="s">
        <v>36</v>
      </c>
      <c r="G49">
        <v>2</v>
      </c>
      <c r="H49" s="3">
        <v>13090</v>
      </c>
      <c r="I49" s="3">
        <v>26180</v>
      </c>
      <c r="J49" t="s">
        <v>22</v>
      </c>
      <c r="K49" t="s">
        <v>37</v>
      </c>
    </row>
    <row r="50" spans="1:11" x14ac:dyDescent="0.3">
      <c r="A50" t="s">
        <v>108</v>
      </c>
      <c r="B50" s="2">
        <v>45786</v>
      </c>
      <c r="C50" t="s">
        <v>60</v>
      </c>
      <c r="D50" t="s">
        <v>53</v>
      </c>
      <c r="E50" t="s">
        <v>27</v>
      </c>
      <c r="F50" t="s">
        <v>28</v>
      </c>
      <c r="G50">
        <v>10</v>
      </c>
      <c r="H50" s="3">
        <v>54800</v>
      </c>
      <c r="I50" s="3">
        <v>548000</v>
      </c>
      <c r="J50" t="s">
        <v>22</v>
      </c>
      <c r="K50" t="s">
        <v>23</v>
      </c>
    </row>
    <row r="51" spans="1:11" x14ac:dyDescent="0.3">
      <c r="A51" t="s">
        <v>109</v>
      </c>
      <c r="B51" s="2">
        <v>45929</v>
      </c>
      <c r="C51" t="s">
        <v>12</v>
      </c>
      <c r="D51" t="s">
        <v>20</v>
      </c>
      <c r="E51" t="s">
        <v>27</v>
      </c>
      <c r="F51" t="s">
        <v>28</v>
      </c>
      <c r="G51">
        <v>2</v>
      </c>
      <c r="H51" s="3">
        <v>55620</v>
      </c>
      <c r="I51" s="3">
        <v>111240</v>
      </c>
      <c r="J51" t="s">
        <v>16</v>
      </c>
      <c r="K51" t="s">
        <v>50</v>
      </c>
    </row>
    <row r="52" spans="1:11" x14ac:dyDescent="0.3">
      <c r="A52" t="s">
        <v>110</v>
      </c>
      <c r="B52" s="2">
        <v>45801</v>
      </c>
      <c r="C52" t="s">
        <v>101</v>
      </c>
      <c r="D52" t="s">
        <v>26</v>
      </c>
      <c r="E52" t="s">
        <v>32</v>
      </c>
      <c r="F52" t="s">
        <v>28</v>
      </c>
      <c r="G52">
        <v>3</v>
      </c>
      <c r="H52" s="3">
        <v>26870</v>
      </c>
      <c r="I52" s="3">
        <v>80610</v>
      </c>
      <c r="J52" t="s">
        <v>22</v>
      </c>
      <c r="K52" t="s">
        <v>56</v>
      </c>
    </row>
    <row r="53" spans="1:11" x14ac:dyDescent="0.3">
      <c r="A53" t="s">
        <v>111</v>
      </c>
      <c r="B53" s="2">
        <v>45751</v>
      </c>
      <c r="C53" t="s">
        <v>89</v>
      </c>
      <c r="D53" t="s">
        <v>13</v>
      </c>
      <c r="E53" t="s">
        <v>14</v>
      </c>
      <c r="F53" t="s">
        <v>15</v>
      </c>
      <c r="G53">
        <v>1</v>
      </c>
      <c r="H53" s="3">
        <v>1680</v>
      </c>
      <c r="I53" s="3">
        <v>1680</v>
      </c>
      <c r="J53" t="s">
        <v>29</v>
      </c>
      <c r="K53" t="s">
        <v>33</v>
      </c>
    </row>
    <row r="54" spans="1:11" x14ac:dyDescent="0.3">
      <c r="A54" t="s">
        <v>112</v>
      </c>
      <c r="B54" s="2">
        <v>45757</v>
      </c>
      <c r="C54" t="s">
        <v>60</v>
      </c>
      <c r="D54" t="s">
        <v>13</v>
      </c>
      <c r="E54" t="s">
        <v>27</v>
      </c>
      <c r="F54" t="s">
        <v>28</v>
      </c>
      <c r="G54">
        <v>5</v>
      </c>
      <c r="H54" s="3">
        <v>54550</v>
      </c>
      <c r="I54" s="3">
        <v>272750</v>
      </c>
      <c r="J54" t="s">
        <v>22</v>
      </c>
      <c r="K54" t="s">
        <v>50</v>
      </c>
    </row>
    <row r="55" spans="1:11" x14ac:dyDescent="0.3">
      <c r="A55" t="s">
        <v>113</v>
      </c>
      <c r="B55" s="2">
        <v>45947</v>
      </c>
      <c r="C55" t="s">
        <v>66</v>
      </c>
      <c r="D55" t="s">
        <v>53</v>
      </c>
      <c r="E55" t="s">
        <v>21</v>
      </c>
      <c r="F55" t="s">
        <v>15</v>
      </c>
      <c r="G55">
        <v>4</v>
      </c>
      <c r="H55" s="3">
        <v>920</v>
      </c>
      <c r="I55" s="3">
        <v>3680</v>
      </c>
      <c r="J55" t="s">
        <v>22</v>
      </c>
      <c r="K55" t="s">
        <v>37</v>
      </c>
    </row>
    <row r="56" spans="1:11" x14ac:dyDescent="0.3">
      <c r="A56" t="s">
        <v>114</v>
      </c>
      <c r="B56" s="2">
        <v>45661</v>
      </c>
      <c r="C56" t="s">
        <v>80</v>
      </c>
      <c r="D56" t="s">
        <v>20</v>
      </c>
      <c r="E56" t="s">
        <v>39</v>
      </c>
      <c r="F56" t="s">
        <v>15</v>
      </c>
      <c r="G56">
        <v>3</v>
      </c>
      <c r="H56" s="3">
        <v>3220</v>
      </c>
      <c r="I56" s="3">
        <v>9660</v>
      </c>
      <c r="J56" t="s">
        <v>16</v>
      </c>
      <c r="K56" t="s">
        <v>37</v>
      </c>
    </row>
    <row r="57" spans="1:11" x14ac:dyDescent="0.3">
      <c r="A57" t="s">
        <v>115</v>
      </c>
      <c r="B57" s="2">
        <v>45809</v>
      </c>
      <c r="C57" t="s">
        <v>25</v>
      </c>
      <c r="D57" t="s">
        <v>13</v>
      </c>
      <c r="E57" t="s">
        <v>27</v>
      </c>
      <c r="F57" t="s">
        <v>28</v>
      </c>
      <c r="G57">
        <v>4</v>
      </c>
      <c r="H57" s="3">
        <v>55660</v>
      </c>
      <c r="I57" s="3">
        <v>222640</v>
      </c>
      <c r="J57" t="s">
        <v>16</v>
      </c>
      <c r="K57" t="s">
        <v>33</v>
      </c>
    </row>
    <row r="58" spans="1:11" x14ac:dyDescent="0.3">
      <c r="A58" t="s">
        <v>116</v>
      </c>
      <c r="B58" s="2">
        <v>45925</v>
      </c>
      <c r="C58" t="s">
        <v>85</v>
      </c>
      <c r="D58" t="s">
        <v>26</v>
      </c>
      <c r="E58" t="s">
        <v>27</v>
      </c>
      <c r="F58" t="s">
        <v>28</v>
      </c>
      <c r="G58">
        <v>5</v>
      </c>
      <c r="H58" s="3">
        <v>54670</v>
      </c>
      <c r="I58" s="3">
        <v>273350</v>
      </c>
      <c r="J58" t="s">
        <v>29</v>
      </c>
      <c r="K58" t="s">
        <v>37</v>
      </c>
    </row>
    <row r="59" spans="1:11" x14ac:dyDescent="0.3">
      <c r="A59" t="s">
        <v>117</v>
      </c>
      <c r="B59" s="2">
        <v>45959</v>
      </c>
      <c r="C59" t="s">
        <v>19</v>
      </c>
      <c r="D59" t="s">
        <v>26</v>
      </c>
      <c r="E59" t="s">
        <v>64</v>
      </c>
      <c r="F59" t="s">
        <v>28</v>
      </c>
      <c r="G59">
        <v>2</v>
      </c>
      <c r="H59" s="3">
        <v>13840</v>
      </c>
      <c r="I59" s="3">
        <v>27680</v>
      </c>
      <c r="J59" t="s">
        <v>16</v>
      </c>
      <c r="K59" t="s">
        <v>37</v>
      </c>
    </row>
    <row r="60" spans="1:11" x14ac:dyDescent="0.3">
      <c r="A60" t="s">
        <v>118</v>
      </c>
      <c r="B60" s="2">
        <v>45747</v>
      </c>
      <c r="C60" t="s">
        <v>19</v>
      </c>
      <c r="D60" t="s">
        <v>53</v>
      </c>
      <c r="E60" t="s">
        <v>98</v>
      </c>
      <c r="F60" t="s">
        <v>15</v>
      </c>
      <c r="G60">
        <v>1</v>
      </c>
      <c r="H60" s="3">
        <v>2140</v>
      </c>
      <c r="I60" s="3">
        <v>2140</v>
      </c>
      <c r="J60" t="s">
        <v>29</v>
      </c>
      <c r="K60" t="s">
        <v>33</v>
      </c>
    </row>
    <row r="61" spans="1:11" x14ac:dyDescent="0.3">
      <c r="A61" t="s">
        <v>119</v>
      </c>
      <c r="B61" s="2">
        <v>45874</v>
      </c>
      <c r="C61" t="s">
        <v>120</v>
      </c>
      <c r="D61" t="s">
        <v>13</v>
      </c>
      <c r="E61" t="s">
        <v>98</v>
      </c>
      <c r="F61" t="s">
        <v>15</v>
      </c>
      <c r="G61">
        <v>2</v>
      </c>
      <c r="H61" s="3">
        <v>2350</v>
      </c>
      <c r="I61" s="3">
        <v>4700</v>
      </c>
      <c r="J61" t="s">
        <v>29</v>
      </c>
      <c r="K61" t="s">
        <v>56</v>
      </c>
    </row>
    <row r="62" spans="1:11" x14ac:dyDescent="0.3">
      <c r="A62" t="s">
        <v>121</v>
      </c>
      <c r="B62" s="2">
        <v>45693</v>
      </c>
      <c r="C62" t="s">
        <v>43</v>
      </c>
      <c r="D62" t="s">
        <v>26</v>
      </c>
      <c r="E62" t="s">
        <v>32</v>
      </c>
      <c r="F62" t="s">
        <v>28</v>
      </c>
      <c r="G62">
        <v>3</v>
      </c>
      <c r="H62" s="3">
        <v>29040</v>
      </c>
      <c r="I62" s="3">
        <v>87120</v>
      </c>
      <c r="J62" t="s">
        <v>16</v>
      </c>
      <c r="K62" t="s">
        <v>23</v>
      </c>
    </row>
    <row r="63" spans="1:11" x14ac:dyDescent="0.3">
      <c r="A63" t="s">
        <v>122</v>
      </c>
      <c r="B63" s="2">
        <v>45936</v>
      </c>
      <c r="C63" t="s">
        <v>85</v>
      </c>
      <c r="D63" t="s">
        <v>26</v>
      </c>
      <c r="E63" t="s">
        <v>32</v>
      </c>
      <c r="F63" t="s">
        <v>28</v>
      </c>
      <c r="G63">
        <v>2</v>
      </c>
      <c r="H63" s="3">
        <v>28810</v>
      </c>
      <c r="I63" s="3">
        <v>58120</v>
      </c>
      <c r="J63" t="s">
        <v>22</v>
      </c>
      <c r="K63" t="s">
        <v>56</v>
      </c>
    </row>
    <row r="64" spans="1:11" x14ac:dyDescent="0.3">
      <c r="A64" t="s">
        <v>123</v>
      </c>
      <c r="B64" s="2">
        <v>45844</v>
      </c>
      <c r="C64" t="s">
        <v>101</v>
      </c>
      <c r="D64" t="s">
        <v>26</v>
      </c>
      <c r="E64" t="s">
        <v>35</v>
      </c>
      <c r="F64" t="s">
        <v>36</v>
      </c>
      <c r="G64">
        <v>3</v>
      </c>
      <c r="H64" s="3">
        <v>12280</v>
      </c>
      <c r="I64" s="3">
        <v>36840</v>
      </c>
      <c r="J64" t="s">
        <v>29</v>
      </c>
      <c r="K64" t="s">
        <v>56</v>
      </c>
    </row>
    <row r="65" spans="1:11" x14ac:dyDescent="0.3">
      <c r="A65" t="s">
        <v>124</v>
      </c>
      <c r="B65" s="2">
        <v>45880</v>
      </c>
      <c r="C65" t="s">
        <v>66</v>
      </c>
      <c r="D65" t="s">
        <v>53</v>
      </c>
      <c r="E65" t="s">
        <v>46</v>
      </c>
      <c r="F65" t="s">
        <v>47</v>
      </c>
      <c r="G65">
        <v>2</v>
      </c>
      <c r="H65" s="3">
        <v>12880</v>
      </c>
      <c r="I65" s="3">
        <v>25760</v>
      </c>
      <c r="J65" t="s">
        <v>22</v>
      </c>
      <c r="K65" t="s">
        <v>50</v>
      </c>
    </row>
    <row r="66" spans="1:11" x14ac:dyDescent="0.3">
      <c r="A66" t="s">
        <v>125</v>
      </c>
      <c r="B66" s="2">
        <v>45710</v>
      </c>
      <c r="C66" t="s">
        <v>80</v>
      </c>
      <c r="D66" t="s">
        <v>26</v>
      </c>
      <c r="E66" t="s">
        <v>27</v>
      </c>
      <c r="F66" t="s">
        <v>28</v>
      </c>
      <c r="G66">
        <v>4</v>
      </c>
      <c r="H66" s="3">
        <v>52450</v>
      </c>
      <c r="I66" s="3">
        <v>209800</v>
      </c>
      <c r="J66" t="s">
        <v>16</v>
      </c>
      <c r="K66" t="s">
        <v>50</v>
      </c>
    </row>
    <row r="67" spans="1:11" x14ac:dyDescent="0.3">
      <c r="A67" t="s">
        <v>126</v>
      </c>
      <c r="B67" s="2">
        <v>45779</v>
      </c>
      <c r="C67" t="s">
        <v>75</v>
      </c>
      <c r="D67" t="s">
        <v>53</v>
      </c>
      <c r="E67" t="s">
        <v>39</v>
      </c>
      <c r="F67" t="s">
        <v>15</v>
      </c>
      <c r="G67">
        <v>10</v>
      </c>
      <c r="H67" s="3">
        <v>3450</v>
      </c>
      <c r="I67" s="3">
        <v>34500</v>
      </c>
      <c r="J67" t="s">
        <v>16</v>
      </c>
      <c r="K67" t="s">
        <v>50</v>
      </c>
    </row>
    <row r="68" spans="1:11" x14ac:dyDescent="0.3">
      <c r="A68" t="s">
        <v>127</v>
      </c>
      <c r="B68" s="2">
        <v>45731</v>
      </c>
      <c r="C68" t="s">
        <v>25</v>
      </c>
      <c r="D68" t="s">
        <v>26</v>
      </c>
      <c r="E68" t="s">
        <v>14</v>
      </c>
      <c r="F68" t="s">
        <v>15</v>
      </c>
      <c r="G68">
        <v>1</v>
      </c>
      <c r="H68" s="3">
        <v>1700</v>
      </c>
      <c r="I68" s="3">
        <v>1700</v>
      </c>
      <c r="J68" t="s">
        <v>29</v>
      </c>
      <c r="K68" t="s">
        <v>23</v>
      </c>
    </row>
    <row r="69" spans="1:11" x14ac:dyDescent="0.3">
      <c r="A69" t="s">
        <v>128</v>
      </c>
      <c r="B69" s="2">
        <v>45940</v>
      </c>
      <c r="C69" t="s">
        <v>19</v>
      </c>
      <c r="D69" t="s">
        <v>26</v>
      </c>
      <c r="E69" t="s">
        <v>27</v>
      </c>
      <c r="F69" t="s">
        <v>28</v>
      </c>
      <c r="G69">
        <v>4</v>
      </c>
      <c r="H69" s="3">
        <v>48450</v>
      </c>
      <c r="I69" s="3">
        <v>193800</v>
      </c>
      <c r="J69" t="s">
        <v>29</v>
      </c>
      <c r="K69" t="s">
        <v>50</v>
      </c>
    </row>
    <row r="70" spans="1:11" x14ac:dyDescent="0.3">
      <c r="A70" t="s">
        <v>129</v>
      </c>
      <c r="B70" s="2">
        <v>45999</v>
      </c>
      <c r="C70" t="s">
        <v>66</v>
      </c>
      <c r="D70" t="s">
        <v>26</v>
      </c>
      <c r="E70" t="s">
        <v>64</v>
      </c>
      <c r="F70" t="s">
        <v>28</v>
      </c>
      <c r="G70">
        <v>4</v>
      </c>
      <c r="H70" s="3">
        <v>15340</v>
      </c>
      <c r="I70" s="3">
        <v>61360</v>
      </c>
      <c r="J70" t="s">
        <v>16</v>
      </c>
      <c r="K70" t="s">
        <v>56</v>
      </c>
    </row>
    <row r="71" spans="1:11" x14ac:dyDescent="0.3">
      <c r="A71" t="s">
        <v>130</v>
      </c>
      <c r="B71" s="2">
        <v>45932</v>
      </c>
      <c r="C71" t="s">
        <v>25</v>
      </c>
      <c r="D71" t="s">
        <v>13</v>
      </c>
      <c r="E71" t="s">
        <v>32</v>
      </c>
      <c r="F71" t="s">
        <v>28</v>
      </c>
      <c r="G71">
        <v>2</v>
      </c>
      <c r="H71" s="3">
        <v>28930</v>
      </c>
      <c r="I71" s="3">
        <v>57860</v>
      </c>
      <c r="J71" t="s">
        <v>16</v>
      </c>
      <c r="K71" t="s">
        <v>17</v>
      </c>
    </row>
    <row r="72" spans="1:11" x14ac:dyDescent="0.3">
      <c r="A72" t="s">
        <v>131</v>
      </c>
      <c r="B72" s="2">
        <v>45830</v>
      </c>
      <c r="C72" t="s">
        <v>49</v>
      </c>
      <c r="D72" t="s">
        <v>13</v>
      </c>
      <c r="E72" t="s">
        <v>64</v>
      </c>
      <c r="F72" t="s">
        <v>28</v>
      </c>
      <c r="G72">
        <v>2</v>
      </c>
      <c r="H72" s="3">
        <v>14350</v>
      </c>
      <c r="I72" s="3">
        <v>28700</v>
      </c>
      <c r="J72" t="s">
        <v>22</v>
      </c>
      <c r="K72" t="s">
        <v>37</v>
      </c>
    </row>
    <row r="73" spans="1:11" x14ac:dyDescent="0.3">
      <c r="A73" t="s">
        <v>132</v>
      </c>
      <c r="B73" s="2">
        <v>45658</v>
      </c>
      <c r="C73" t="s">
        <v>85</v>
      </c>
      <c r="D73" t="s">
        <v>26</v>
      </c>
      <c r="E73" t="s">
        <v>98</v>
      </c>
      <c r="F73" t="s">
        <v>15</v>
      </c>
      <c r="G73">
        <v>5</v>
      </c>
      <c r="H73" s="3">
        <v>2310</v>
      </c>
      <c r="I73" s="3">
        <v>11550</v>
      </c>
      <c r="J73" t="s">
        <v>22</v>
      </c>
      <c r="K73" t="s">
        <v>56</v>
      </c>
    </row>
    <row r="74" spans="1:11" x14ac:dyDescent="0.3">
      <c r="A74" t="s">
        <v>133</v>
      </c>
      <c r="B74" s="2">
        <v>45774</v>
      </c>
      <c r="C74" t="s">
        <v>69</v>
      </c>
      <c r="D74" t="s">
        <v>13</v>
      </c>
      <c r="E74" t="s">
        <v>14</v>
      </c>
      <c r="F74" t="s">
        <v>15</v>
      </c>
      <c r="G74">
        <v>2</v>
      </c>
      <c r="H74" s="3">
        <v>1910</v>
      </c>
      <c r="I74" s="3">
        <v>3820</v>
      </c>
      <c r="J74" t="s">
        <v>29</v>
      </c>
      <c r="K74" t="s">
        <v>50</v>
      </c>
    </row>
    <row r="75" spans="1:11" x14ac:dyDescent="0.3">
      <c r="A75" t="s">
        <v>134</v>
      </c>
      <c r="B75" s="2">
        <v>45860</v>
      </c>
      <c r="C75" t="s">
        <v>75</v>
      </c>
      <c r="E75" t="s">
        <v>27</v>
      </c>
      <c r="F75" t="s">
        <v>28</v>
      </c>
      <c r="G75">
        <v>6</v>
      </c>
      <c r="H75" s="3">
        <v>52230</v>
      </c>
      <c r="I75" s="3">
        <v>313380</v>
      </c>
      <c r="J75" t="s">
        <v>16</v>
      </c>
      <c r="K75" t="s">
        <v>17</v>
      </c>
    </row>
    <row r="76" spans="1:11" x14ac:dyDescent="0.3">
      <c r="A76" t="s">
        <v>135</v>
      </c>
      <c r="B76" s="2">
        <v>45671</v>
      </c>
      <c r="C76" t="s">
        <v>31</v>
      </c>
      <c r="D76" t="s">
        <v>53</v>
      </c>
      <c r="E76" t="s">
        <v>39</v>
      </c>
      <c r="F76" t="s">
        <v>15</v>
      </c>
      <c r="G76">
        <v>3</v>
      </c>
      <c r="H76" s="3">
        <v>3270</v>
      </c>
      <c r="I76" s="3">
        <v>9810</v>
      </c>
      <c r="J76" t="s">
        <v>29</v>
      </c>
      <c r="K76" t="s">
        <v>50</v>
      </c>
    </row>
    <row r="77" spans="1:11" x14ac:dyDescent="0.3">
      <c r="A77" t="s">
        <v>136</v>
      </c>
      <c r="B77" s="2">
        <v>45669</v>
      </c>
      <c r="C77" t="s">
        <v>103</v>
      </c>
      <c r="D77" t="s">
        <v>20</v>
      </c>
      <c r="E77" t="s">
        <v>98</v>
      </c>
      <c r="F77" t="s">
        <v>15</v>
      </c>
      <c r="G77">
        <v>2</v>
      </c>
      <c r="H77" s="3">
        <v>2280</v>
      </c>
      <c r="I77" s="3">
        <v>4560</v>
      </c>
      <c r="J77" t="s">
        <v>22</v>
      </c>
      <c r="K77" t="s">
        <v>33</v>
      </c>
    </row>
    <row r="78" spans="1:11" x14ac:dyDescent="0.3">
      <c r="A78" t="s">
        <v>137</v>
      </c>
      <c r="B78" s="2">
        <v>45821</v>
      </c>
      <c r="C78" t="s">
        <v>45</v>
      </c>
      <c r="D78" t="s">
        <v>13</v>
      </c>
      <c r="E78" t="s">
        <v>27</v>
      </c>
      <c r="F78" t="s">
        <v>28</v>
      </c>
      <c r="G78">
        <v>2</v>
      </c>
      <c r="H78" s="3">
        <v>49250</v>
      </c>
      <c r="I78" s="3">
        <v>98500</v>
      </c>
      <c r="J78" t="s">
        <v>22</v>
      </c>
      <c r="K78" t="s">
        <v>33</v>
      </c>
    </row>
    <row r="79" spans="1:11" x14ac:dyDescent="0.3">
      <c r="A79" t="s">
        <v>138</v>
      </c>
      <c r="B79" s="2">
        <v>45802</v>
      </c>
      <c r="C79" t="s">
        <v>93</v>
      </c>
      <c r="D79" t="s">
        <v>26</v>
      </c>
      <c r="E79" t="s">
        <v>27</v>
      </c>
      <c r="F79" t="s">
        <v>28</v>
      </c>
      <c r="G79">
        <v>10</v>
      </c>
      <c r="H79" s="3">
        <v>56050</v>
      </c>
      <c r="I79" s="3">
        <v>560500</v>
      </c>
      <c r="J79" t="s">
        <v>29</v>
      </c>
      <c r="K79" t="s">
        <v>33</v>
      </c>
    </row>
    <row r="80" spans="1:11" x14ac:dyDescent="0.3">
      <c r="A80" t="s">
        <v>139</v>
      </c>
      <c r="B80" s="2">
        <v>45692</v>
      </c>
      <c r="C80" t="s">
        <v>69</v>
      </c>
      <c r="D80" t="s">
        <v>13</v>
      </c>
      <c r="E80" t="s">
        <v>32</v>
      </c>
      <c r="F80" t="s">
        <v>28</v>
      </c>
      <c r="G80">
        <v>2</v>
      </c>
      <c r="H80" s="3">
        <v>26360</v>
      </c>
      <c r="I80" s="3">
        <v>52720</v>
      </c>
      <c r="J80" t="s">
        <v>16</v>
      </c>
      <c r="K80" t="s">
        <v>50</v>
      </c>
    </row>
    <row r="81" spans="1:11" x14ac:dyDescent="0.3">
      <c r="A81" t="s">
        <v>140</v>
      </c>
      <c r="B81" s="2">
        <v>45899</v>
      </c>
      <c r="C81" t="s">
        <v>49</v>
      </c>
      <c r="D81" t="s">
        <v>26</v>
      </c>
      <c r="E81" t="s">
        <v>32</v>
      </c>
      <c r="F81" t="s">
        <v>28</v>
      </c>
      <c r="G81">
        <v>3</v>
      </c>
      <c r="H81" s="3">
        <v>29940</v>
      </c>
      <c r="I81" s="3">
        <v>89820</v>
      </c>
      <c r="J81" t="s">
        <v>16</v>
      </c>
      <c r="K81" t="s">
        <v>56</v>
      </c>
    </row>
    <row r="82" spans="1:11" x14ac:dyDescent="0.3">
      <c r="A82" t="s">
        <v>141</v>
      </c>
      <c r="B82" s="2">
        <v>45924</v>
      </c>
      <c r="C82" t="s">
        <v>41</v>
      </c>
      <c r="D82" t="s">
        <v>26</v>
      </c>
      <c r="E82" t="s">
        <v>55</v>
      </c>
      <c r="F82" t="s">
        <v>47</v>
      </c>
      <c r="G82">
        <v>3</v>
      </c>
      <c r="H82" s="3">
        <v>9160</v>
      </c>
      <c r="I82" s="3">
        <v>27480</v>
      </c>
      <c r="J82" t="s">
        <v>29</v>
      </c>
      <c r="K82" t="s">
        <v>37</v>
      </c>
    </row>
    <row r="83" spans="1:11" x14ac:dyDescent="0.3">
      <c r="A83" t="s">
        <v>142</v>
      </c>
      <c r="B83" s="2">
        <v>45968</v>
      </c>
      <c r="C83" t="s">
        <v>69</v>
      </c>
      <c r="D83" t="s">
        <v>20</v>
      </c>
      <c r="E83" t="s">
        <v>27</v>
      </c>
      <c r="F83" t="s">
        <v>28</v>
      </c>
      <c r="G83">
        <v>1</v>
      </c>
      <c r="H83" s="3">
        <v>47950</v>
      </c>
      <c r="I83" s="3">
        <v>47950</v>
      </c>
      <c r="J83" t="s">
        <v>29</v>
      </c>
      <c r="K83" t="s">
        <v>50</v>
      </c>
    </row>
    <row r="84" spans="1:11" x14ac:dyDescent="0.3">
      <c r="A84" t="s">
        <v>143</v>
      </c>
      <c r="B84" s="2">
        <v>45710</v>
      </c>
      <c r="C84" t="s">
        <v>75</v>
      </c>
      <c r="D84" t="s">
        <v>13</v>
      </c>
      <c r="E84" t="s">
        <v>39</v>
      </c>
      <c r="F84" t="s">
        <v>15</v>
      </c>
      <c r="G84">
        <v>10</v>
      </c>
      <c r="H84" s="3">
        <v>3230</v>
      </c>
      <c r="I84" s="3">
        <v>32300</v>
      </c>
      <c r="J84" t="s">
        <v>22</v>
      </c>
      <c r="K84" t="s">
        <v>17</v>
      </c>
    </row>
    <row r="85" spans="1:11" x14ac:dyDescent="0.3">
      <c r="A85" t="s">
        <v>144</v>
      </c>
      <c r="B85" s="2">
        <v>45708</v>
      </c>
      <c r="C85" t="s">
        <v>49</v>
      </c>
      <c r="D85" t="s">
        <v>26</v>
      </c>
      <c r="E85" t="s">
        <v>64</v>
      </c>
      <c r="F85" t="s">
        <v>28</v>
      </c>
      <c r="G85">
        <v>3</v>
      </c>
      <c r="H85" s="3">
        <v>13640</v>
      </c>
      <c r="I85" s="3">
        <v>40920</v>
      </c>
      <c r="J85" t="s">
        <v>22</v>
      </c>
      <c r="K85" t="s">
        <v>56</v>
      </c>
    </row>
    <row r="86" spans="1:11" x14ac:dyDescent="0.3">
      <c r="A86" t="s">
        <v>145</v>
      </c>
      <c r="B86" s="2">
        <v>45729</v>
      </c>
      <c r="C86" t="s">
        <v>12</v>
      </c>
      <c r="D86" t="s">
        <v>13</v>
      </c>
      <c r="E86" t="s">
        <v>98</v>
      </c>
      <c r="F86" t="s">
        <v>15</v>
      </c>
      <c r="G86">
        <v>4</v>
      </c>
      <c r="H86" s="3">
        <v>2150</v>
      </c>
      <c r="I86" s="3">
        <v>8600</v>
      </c>
      <c r="J86" t="s">
        <v>22</v>
      </c>
      <c r="K86" t="s">
        <v>37</v>
      </c>
    </row>
    <row r="87" spans="1:11" x14ac:dyDescent="0.3">
      <c r="A87" t="s">
        <v>146</v>
      </c>
      <c r="B87" s="2">
        <v>45711</v>
      </c>
      <c r="C87" t="s">
        <v>25</v>
      </c>
      <c r="D87" t="s">
        <v>26</v>
      </c>
      <c r="E87" t="s">
        <v>21</v>
      </c>
      <c r="F87" t="s">
        <v>15</v>
      </c>
      <c r="G87">
        <v>6</v>
      </c>
      <c r="H87" s="3">
        <v>870</v>
      </c>
      <c r="I87" s="3">
        <v>5220</v>
      </c>
      <c r="J87" t="s">
        <v>22</v>
      </c>
      <c r="K87" t="s">
        <v>23</v>
      </c>
    </row>
    <row r="88" spans="1:11" x14ac:dyDescent="0.3">
      <c r="A88" t="s">
        <v>147</v>
      </c>
      <c r="B88" s="2">
        <v>45864</v>
      </c>
      <c r="C88" t="s">
        <v>75</v>
      </c>
      <c r="D88" t="s">
        <v>26</v>
      </c>
      <c r="E88" t="s">
        <v>55</v>
      </c>
      <c r="F88" t="s">
        <v>47</v>
      </c>
      <c r="G88">
        <v>4</v>
      </c>
      <c r="H88" s="3">
        <v>8470</v>
      </c>
      <c r="I88" s="3">
        <v>33880</v>
      </c>
      <c r="J88" t="s">
        <v>22</v>
      </c>
      <c r="K88" t="s">
        <v>37</v>
      </c>
    </row>
    <row r="89" spans="1:11" x14ac:dyDescent="0.3">
      <c r="A89" t="s">
        <v>148</v>
      </c>
      <c r="B89" s="2">
        <v>45883</v>
      </c>
      <c r="C89" t="s">
        <v>69</v>
      </c>
      <c r="D89" t="s">
        <v>13</v>
      </c>
      <c r="E89" t="s">
        <v>55</v>
      </c>
      <c r="F89" t="s">
        <v>47</v>
      </c>
      <c r="G89">
        <v>6</v>
      </c>
      <c r="H89" s="3">
        <v>8660</v>
      </c>
      <c r="I89" s="3">
        <v>51960</v>
      </c>
      <c r="J89" t="s">
        <v>22</v>
      </c>
      <c r="K89" t="s">
        <v>37</v>
      </c>
    </row>
    <row r="90" spans="1:11" x14ac:dyDescent="0.3">
      <c r="A90" t="s">
        <v>149</v>
      </c>
      <c r="B90" s="2">
        <v>45965</v>
      </c>
      <c r="C90" t="s">
        <v>69</v>
      </c>
      <c r="D90" t="s">
        <v>26</v>
      </c>
      <c r="E90" t="s">
        <v>21</v>
      </c>
      <c r="F90" t="s">
        <v>15</v>
      </c>
      <c r="G90">
        <v>3</v>
      </c>
      <c r="H90" s="3">
        <v>960</v>
      </c>
      <c r="I90" s="3">
        <v>2880</v>
      </c>
      <c r="J90" t="s">
        <v>16</v>
      </c>
      <c r="K90" t="s">
        <v>33</v>
      </c>
    </row>
    <row r="91" spans="1:11" x14ac:dyDescent="0.3">
      <c r="A91" t="s">
        <v>150</v>
      </c>
      <c r="B91" s="2">
        <v>45942</v>
      </c>
      <c r="C91" t="s">
        <v>120</v>
      </c>
      <c r="D91" t="s">
        <v>151</v>
      </c>
      <c r="E91" t="s">
        <v>14</v>
      </c>
      <c r="F91" t="s">
        <v>15</v>
      </c>
      <c r="G91">
        <v>3</v>
      </c>
      <c r="H91" s="3">
        <v>1860</v>
      </c>
      <c r="I91" s="3">
        <v>5580</v>
      </c>
      <c r="J91" t="s">
        <v>29</v>
      </c>
      <c r="K91" t="s">
        <v>37</v>
      </c>
    </row>
    <row r="92" spans="1:11" x14ac:dyDescent="0.3">
      <c r="A92" t="s">
        <v>152</v>
      </c>
      <c r="B92" s="2">
        <v>45919</v>
      </c>
      <c r="C92" t="s">
        <v>19</v>
      </c>
      <c r="D92" t="s">
        <v>26</v>
      </c>
      <c r="E92" t="s">
        <v>55</v>
      </c>
      <c r="F92" t="s">
        <v>47</v>
      </c>
      <c r="G92">
        <v>1</v>
      </c>
      <c r="H92" s="3">
        <v>7880</v>
      </c>
      <c r="I92" s="3">
        <v>7880</v>
      </c>
      <c r="J92" t="s">
        <v>22</v>
      </c>
      <c r="K92" t="s">
        <v>17</v>
      </c>
    </row>
    <row r="93" spans="1:11" x14ac:dyDescent="0.3">
      <c r="A93" t="s">
        <v>153</v>
      </c>
      <c r="B93" s="2">
        <v>45808</v>
      </c>
      <c r="C93" t="s">
        <v>80</v>
      </c>
      <c r="D93" t="s">
        <v>53</v>
      </c>
      <c r="E93" t="s">
        <v>32</v>
      </c>
      <c r="F93" t="s">
        <v>28</v>
      </c>
      <c r="G93">
        <v>2</v>
      </c>
      <c r="H93" s="3">
        <v>28170</v>
      </c>
      <c r="I93" s="3">
        <v>56340</v>
      </c>
      <c r="J93" t="s">
        <v>16</v>
      </c>
      <c r="K93" t="s">
        <v>23</v>
      </c>
    </row>
    <row r="94" spans="1:11" x14ac:dyDescent="0.3">
      <c r="A94" t="s">
        <v>154</v>
      </c>
      <c r="B94" s="2">
        <v>45938</v>
      </c>
      <c r="C94" t="s">
        <v>85</v>
      </c>
      <c r="D94" t="s">
        <v>20</v>
      </c>
      <c r="E94" t="s">
        <v>98</v>
      </c>
      <c r="F94" t="s">
        <v>15</v>
      </c>
      <c r="G94">
        <v>2</v>
      </c>
      <c r="H94" s="3">
        <v>2270</v>
      </c>
      <c r="I94" s="3">
        <v>4540</v>
      </c>
      <c r="J94" t="s">
        <v>16</v>
      </c>
      <c r="K94" t="s">
        <v>17</v>
      </c>
    </row>
    <row r="95" spans="1:11" x14ac:dyDescent="0.3">
      <c r="A95" t="s">
        <v>155</v>
      </c>
      <c r="B95" s="2">
        <v>45934</v>
      </c>
      <c r="C95" t="s">
        <v>75</v>
      </c>
      <c r="D95" t="s">
        <v>13</v>
      </c>
      <c r="E95" t="s">
        <v>98</v>
      </c>
      <c r="F95" t="s">
        <v>15</v>
      </c>
      <c r="G95">
        <v>1</v>
      </c>
      <c r="H95" s="3">
        <v>2090</v>
      </c>
      <c r="I95" s="3">
        <v>2090</v>
      </c>
      <c r="J95" t="s">
        <v>22</v>
      </c>
      <c r="K95" t="s">
        <v>50</v>
      </c>
    </row>
    <row r="96" spans="1:11" x14ac:dyDescent="0.3">
      <c r="A96" t="s">
        <v>156</v>
      </c>
      <c r="B96" s="2">
        <v>45669</v>
      </c>
      <c r="C96" t="s">
        <v>89</v>
      </c>
      <c r="D96" t="s">
        <v>13</v>
      </c>
      <c r="E96" t="s">
        <v>27</v>
      </c>
      <c r="F96" t="s">
        <v>28</v>
      </c>
      <c r="G96">
        <v>3</v>
      </c>
      <c r="H96" s="3">
        <v>52290</v>
      </c>
      <c r="I96" s="3">
        <v>156870</v>
      </c>
      <c r="J96" t="s">
        <v>29</v>
      </c>
      <c r="K96" t="s">
        <v>23</v>
      </c>
    </row>
    <row r="97" spans="1:11" x14ac:dyDescent="0.3">
      <c r="A97" t="s">
        <v>157</v>
      </c>
      <c r="B97" s="2">
        <v>45704</v>
      </c>
      <c r="C97" t="s">
        <v>31</v>
      </c>
      <c r="D97" t="s">
        <v>20</v>
      </c>
      <c r="E97" t="s">
        <v>14</v>
      </c>
      <c r="F97" t="s">
        <v>15</v>
      </c>
      <c r="G97">
        <v>2</v>
      </c>
      <c r="H97" s="3">
        <v>1680</v>
      </c>
      <c r="I97" s="3">
        <v>3360</v>
      </c>
      <c r="J97" t="s">
        <v>22</v>
      </c>
      <c r="K97" t="s">
        <v>17</v>
      </c>
    </row>
    <row r="98" spans="1:11" x14ac:dyDescent="0.3">
      <c r="A98" t="s">
        <v>158</v>
      </c>
      <c r="B98" s="2">
        <v>45914</v>
      </c>
      <c r="C98" t="s">
        <v>45</v>
      </c>
      <c r="D98" t="s">
        <v>26</v>
      </c>
      <c r="E98" t="s">
        <v>39</v>
      </c>
      <c r="F98" t="s">
        <v>15</v>
      </c>
      <c r="G98">
        <v>1</v>
      </c>
      <c r="H98" s="3">
        <v>3090</v>
      </c>
      <c r="I98" s="3">
        <v>3090</v>
      </c>
      <c r="J98" t="s">
        <v>16</v>
      </c>
      <c r="K98" t="s">
        <v>50</v>
      </c>
    </row>
    <row r="99" spans="1:11" x14ac:dyDescent="0.3">
      <c r="A99" t="s">
        <v>159</v>
      </c>
      <c r="B99" s="2">
        <v>45671</v>
      </c>
      <c r="C99" t="s">
        <v>89</v>
      </c>
      <c r="D99" t="s">
        <v>20</v>
      </c>
      <c r="E99" t="s">
        <v>39</v>
      </c>
      <c r="F99" t="s">
        <v>15</v>
      </c>
      <c r="G99">
        <v>3</v>
      </c>
      <c r="H99" s="3">
        <v>3420</v>
      </c>
      <c r="I99" s="3">
        <v>10260</v>
      </c>
      <c r="J99" t="s">
        <v>22</v>
      </c>
      <c r="K99" t="s">
        <v>50</v>
      </c>
    </row>
    <row r="100" spans="1:11" x14ac:dyDescent="0.3">
      <c r="A100" t="s">
        <v>160</v>
      </c>
      <c r="B100" s="2">
        <v>45660</v>
      </c>
      <c r="C100" t="s">
        <v>31</v>
      </c>
      <c r="D100" t="s">
        <v>53</v>
      </c>
      <c r="E100" t="s">
        <v>27</v>
      </c>
      <c r="F100" t="s">
        <v>28</v>
      </c>
      <c r="G100">
        <v>1</v>
      </c>
      <c r="H100" s="3">
        <v>48950</v>
      </c>
      <c r="I100" s="3">
        <v>48950</v>
      </c>
      <c r="J100" t="s">
        <v>22</v>
      </c>
      <c r="K100" t="s">
        <v>17</v>
      </c>
    </row>
    <row r="101" spans="1:11" x14ac:dyDescent="0.3">
      <c r="A101" t="s">
        <v>161</v>
      </c>
      <c r="B101" s="2">
        <v>45884</v>
      </c>
      <c r="C101" t="s">
        <v>101</v>
      </c>
      <c r="D101" t="s">
        <v>53</v>
      </c>
      <c r="E101" t="s">
        <v>35</v>
      </c>
      <c r="F101" t="s">
        <v>36</v>
      </c>
      <c r="G101">
        <v>1</v>
      </c>
      <c r="H101" s="3">
        <v>12390</v>
      </c>
      <c r="I101" s="3">
        <v>12390</v>
      </c>
      <c r="J101" t="s">
        <v>29</v>
      </c>
      <c r="K101" t="s">
        <v>50</v>
      </c>
    </row>
    <row r="102" spans="1:11" x14ac:dyDescent="0.3">
      <c r="A102" t="s">
        <v>162</v>
      </c>
      <c r="B102" s="2">
        <v>45743</v>
      </c>
      <c r="C102" t="s">
        <v>25</v>
      </c>
      <c r="D102" t="s">
        <v>26</v>
      </c>
      <c r="E102" t="s">
        <v>64</v>
      </c>
      <c r="F102" t="s">
        <v>28</v>
      </c>
      <c r="G102">
        <v>3</v>
      </c>
      <c r="H102" s="3">
        <v>15290</v>
      </c>
      <c r="I102" s="3">
        <v>45870</v>
      </c>
      <c r="J102" t="s">
        <v>29</v>
      </c>
      <c r="K102" t="s">
        <v>50</v>
      </c>
    </row>
    <row r="103" spans="1:11" x14ac:dyDescent="0.3">
      <c r="A103" t="s">
        <v>163</v>
      </c>
      <c r="B103" s="2">
        <v>45766</v>
      </c>
      <c r="C103" t="s">
        <v>43</v>
      </c>
      <c r="D103" t="s">
        <v>53</v>
      </c>
      <c r="E103" t="s">
        <v>32</v>
      </c>
      <c r="F103" t="s">
        <v>28</v>
      </c>
      <c r="G103">
        <v>4</v>
      </c>
      <c r="H103" s="3">
        <v>29300</v>
      </c>
      <c r="I103" s="3">
        <v>117200</v>
      </c>
      <c r="J103" t="s">
        <v>16</v>
      </c>
      <c r="K103" t="s">
        <v>23</v>
      </c>
    </row>
    <row r="104" spans="1:11" x14ac:dyDescent="0.3">
      <c r="A104" t="s">
        <v>164</v>
      </c>
      <c r="B104" s="2">
        <v>45740</v>
      </c>
      <c r="C104" t="s">
        <v>103</v>
      </c>
      <c r="D104" t="s">
        <v>26</v>
      </c>
      <c r="E104" t="s">
        <v>32</v>
      </c>
      <c r="F104" t="s">
        <v>28</v>
      </c>
      <c r="G104">
        <v>5</v>
      </c>
      <c r="H104" s="3">
        <v>27690</v>
      </c>
      <c r="I104" s="3">
        <v>138450</v>
      </c>
      <c r="J104" t="s">
        <v>29</v>
      </c>
      <c r="K104" t="s">
        <v>23</v>
      </c>
    </row>
    <row r="105" spans="1:11" x14ac:dyDescent="0.3">
      <c r="A105" t="s">
        <v>165</v>
      </c>
      <c r="B105" s="2">
        <v>45972</v>
      </c>
      <c r="C105" t="s">
        <v>49</v>
      </c>
      <c r="D105" t="s">
        <v>13</v>
      </c>
      <c r="E105" t="s">
        <v>46</v>
      </c>
      <c r="F105" t="s">
        <v>47</v>
      </c>
      <c r="G105">
        <v>4</v>
      </c>
      <c r="H105" s="3">
        <v>11510</v>
      </c>
      <c r="I105" s="3">
        <v>46040</v>
      </c>
      <c r="J105" t="s">
        <v>29</v>
      </c>
      <c r="K105" t="s">
        <v>56</v>
      </c>
    </row>
    <row r="106" spans="1:11" x14ac:dyDescent="0.3">
      <c r="A106" t="s">
        <v>166</v>
      </c>
      <c r="B106" s="2">
        <v>45769</v>
      </c>
      <c r="C106" t="s">
        <v>120</v>
      </c>
      <c r="D106" t="s">
        <v>13</v>
      </c>
      <c r="E106" t="s">
        <v>64</v>
      </c>
      <c r="F106" t="s">
        <v>28</v>
      </c>
      <c r="G106">
        <v>1</v>
      </c>
      <c r="H106" s="3">
        <v>13690</v>
      </c>
      <c r="I106" s="3">
        <v>13690</v>
      </c>
      <c r="J106" t="s">
        <v>16</v>
      </c>
      <c r="K106" t="s">
        <v>23</v>
      </c>
    </row>
    <row r="107" spans="1:11" x14ac:dyDescent="0.3">
      <c r="A107" t="s">
        <v>167</v>
      </c>
      <c r="B107" s="2">
        <v>45904</v>
      </c>
      <c r="C107" t="s">
        <v>85</v>
      </c>
      <c r="D107" t="s">
        <v>53</v>
      </c>
      <c r="E107" t="s">
        <v>14</v>
      </c>
      <c r="F107" t="s">
        <v>15</v>
      </c>
      <c r="G107">
        <v>1</v>
      </c>
      <c r="H107" s="3">
        <v>1910</v>
      </c>
      <c r="I107" s="3">
        <v>1910</v>
      </c>
      <c r="J107" t="s">
        <v>16</v>
      </c>
      <c r="K107" t="s">
        <v>50</v>
      </c>
    </row>
    <row r="108" spans="1:11" x14ac:dyDescent="0.3">
      <c r="A108" t="s">
        <v>168</v>
      </c>
      <c r="B108" s="2">
        <v>45877</v>
      </c>
      <c r="C108" t="s">
        <v>52</v>
      </c>
      <c r="D108" t="s">
        <v>20</v>
      </c>
      <c r="E108" t="s">
        <v>39</v>
      </c>
      <c r="F108" t="s">
        <v>15</v>
      </c>
      <c r="G108">
        <v>1</v>
      </c>
      <c r="H108" s="3">
        <v>3150</v>
      </c>
      <c r="I108" s="3">
        <v>3150</v>
      </c>
      <c r="J108" t="s">
        <v>16</v>
      </c>
      <c r="K108" t="s">
        <v>23</v>
      </c>
    </row>
    <row r="109" spans="1:11" x14ac:dyDescent="0.3">
      <c r="A109" t="s">
        <v>169</v>
      </c>
      <c r="B109" s="2">
        <v>45719</v>
      </c>
      <c r="C109" t="s">
        <v>19</v>
      </c>
      <c r="D109" t="s">
        <v>53</v>
      </c>
      <c r="E109" t="s">
        <v>39</v>
      </c>
      <c r="F109" t="s">
        <v>15</v>
      </c>
      <c r="G109">
        <v>3</v>
      </c>
      <c r="H109" s="3">
        <v>3310</v>
      </c>
      <c r="I109" s="3">
        <v>9930</v>
      </c>
      <c r="J109" t="s">
        <v>16</v>
      </c>
      <c r="K109" t="s">
        <v>37</v>
      </c>
    </row>
    <row r="110" spans="1:11" x14ac:dyDescent="0.3">
      <c r="A110" t="s">
        <v>170</v>
      </c>
      <c r="B110" s="2">
        <v>45775</v>
      </c>
      <c r="C110" t="s">
        <v>120</v>
      </c>
      <c r="D110" t="s">
        <v>53</v>
      </c>
      <c r="E110" t="s">
        <v>14</v>
      </c>
      <c r="F110" t="s">
        <v>15</v>
      </c>
      <c r="G110">
        <v>5</v>
      </c>
      <c r="H110" s="3">
        <v>1710</v>
      </c>
      <c r="I110" s="3">
        <v>8550</v>
      </c>
      <c r="J110" t="s">
        <v>29</v>
      </c>
      <c r="K110" t="s">
        <v>33</v>
      </c>
    </row>
    <row r="111" spans="1:11" x14ac:dyDescent="0.3">
      <c r="A111" t="s">
        <v>171</v>
      </c>
      <c r="B111" s="2">
        <v>45977</v>
      </c>
      <c r="C111" t="s">
        <v>69</v>
      </c>
      <c r="D111" t="s">
        <v>26</v>
      </c>
      <c r="E111" t="s">
        <v>64</v>
      </c>
      <c r="F111" t="s">
        <v>28</v>
      </c>
      <c r="G111">
        <v>1</v>
      </c>
      <c r="H111" s="3">
        <v>14760</v>
      </c>
      <c r="I111" s="3">
        <v>14760</v>
      </c>
      <c r="J111" t="s">
        <v>22</v>
      </c>
      <c r="K111" t="s">
        <v>17</v>
      </c>
    </row>
    <row r="112" spans="1:11" x14ac:dyDescent="0.3">
      <c r="A112" t="s">
        <v>172</v>
      </c>
      <c r="B112" s="2">
        <v>45835</v>
      </c>
      <c r="C112" t="s">
        <v>103</v>
      </c>
      <c r="D112" t="s">
        <v>26</v>
      </c>
      <c r="E112" t="s">
        <v>39</v>
      </c>
      <c r="F112" t="s">
        <v>15</v>
      </c>
      <c r="G112">
        <v>2</v>
      </c>
      <c r="H112" s="3">
        <v>3250</v>
      </c>
      <c r="I112" s="3">
        <v>6500</v>
      </c>
      <c r="J112" t="s">
        <v>16</v>
      </c>
      <c r="K112" t="s">
        <v>37</v>
      </c>
    </row>
    <row r="113" spans="1:11" x14ac:dyDescent="0.3">
      <c r="A113" t="s">
        <v>173</v>
      </c>
      <c r="B113" s="2">
        <v>45978</v>
      </c>
      <c r="C113" t="s">
        <v>174</v>
      </c>
      <c r="D113" t="s">
        <v>26</v>
      </c>
      <c r="E113" t="s">
        <v>39</v>
      </c>
      <c r="F113" t="s">
        <v>15</v>
      </c>
      <c r="G113">
        <v>2</v>
      </c>
      <c r="H113" s="3">
        <v>3360</v>
      </c>
      <c r="I113" s="3">
        <v>6720</v>
      </c>
      <c r="J113" t="s">
        <v>29</v>
      </c>
      <c r="K113" t="s">
        <v>56</v>
      </c>
    </row>
    <row r="114" spans="1:11" x14ac:dyDescent="0.3">
      <c r="A114" t="s">
        <v>175</v>
      </c>
      <c r="B114" s="2">
        <v>45751</v>
      </c>
      <c r="C114" t="s">
        <v>41</v>
      </c>
      <c r="D114" t="s">
        <v>26</v>
      </c>
      <c r="E114" t="s">
        <v>32</v>
      </c>
      <c r="F114" t="s">
        <v>28</v>
      </c>
      <c r="G114">
        <v>3</v>
      </c>
      <c r="H114" s="3">
        <v>27610</v>
      </c>
      <c r="I114" s="3">
        <v>82830</v>
      </c>
      <c r="J114" t="s">
        <v>22</v>
      </c>
      <c r="K114" t="s">
        <v>33</v>
      </c>
    </row>
    <row r="115" spans="1:11" x14ac:dyDescent="0.3">
      <c r="A115" t="s">
        <v>176</v>
      </c>
      <c r="B115" s="2">
        <v>45794</v>
      </c>
      <c r="C115" t="s">
        <v>19</v>
      </c>
      <c r="D115" t="s">
        <v>20</v>
      </c>
      <c r="E115" t="s">
        <v>39</v>
      </c>
      <c r="F115" t="s">
        <v>15</v>
      </c>
      <c r="G115">
        <v>1</v>
      </c>
      <c r="H115" s="3">
        <v>3320</v>
      </c>
      <c r="I115" s="3">
        <v>3320</v>
      </c>
      <c r="J115" t="s">
        <v>16</v>
      </c>
      <c r="K115" t="s">
        <v>17</v>
      </c>
    </row>
    <row r="116" spans="1:11" x14ac:dyDescent="0.3">
      <c r="A116" t="s">
        <v>177</v>
      </c>
      <c r="B116" s="2">
        <v>46006</v>
      </c>
      <c r="C116" t="s">
        <v>45</v>
      </c>
      <c r="D116" t="s">
        <v>53</v>
      </c>
      <c r="E116" t="s">
        <v>39</v>
      </c>
      <c r="F116" t="s">
        <v>15</v>
      </c>
      <c r="G116">
        <v>4</v>
      </c>
      <c r="H116" s="3">
        <v>2970</v>
      </c>
      <c r="I116" s="3">
        <v>11880</v>
      </c>
      <c r="J116" t="s">
        <v>29</v>
      </c>
      <c r="K116" t="s">
        <v>50</v>
      </c>
    </row>
    <row r="117" spans="1:11" x14ac:dyDescent="0.3">
      <c r="A117" t="s">
        <v>178</v>
      </c>
      <c r="B117" s="2">
        <v>45662</v>
      </c>
      <c r="C117" t="s">
        <v>101</v>
      </c>
      <c r="D117" t="s">
        <v>53</v>
      </c>
      <c r="E117" t="s">
        <v>64</v>
      </c>
      <c r="F117" t="s">
        <v>28</v>
      </c>
      <c r="G117">
        <v>1</v>
      </c>
      <c r="H117" s="3">
        <v>13720</v>
      </c>
      <c r="I117" s="3">
        <v>13720</v>
      </c>
      <c r="J117" t="s">
        <v>22</v>
      </c>
      <c r="K117" t="s">
        <v>37</v>
      </c>
    </row>
    <row r="118" spans="1:11" x14ac:dyDescent="0.3">
      <c r="A118" t="s">
        <v>179</v>
      </c>
      <c r="B118" s="2">
        <v>45953</v>
      </c>
      <c r="C118" t="s">
        <v>45</v>
      </c>
      <c r="D118" t="s">
        <v>53</v>
      </c>
      <c r="E118" t="s">
        <v>46</v>
      </c>
      <c r="F118" t="s">
        <v>47</v>
      </c>
      <c r="G118">
        <v>2</v>
      </c>
      <c r="H118" s="3">
        <v>12170</v>
      </c>
      <c r="I118" s="3">
        <v>24340</v>
      </c>
      <c r="J118" t="s">
        <v>22</v>
      </c>
      <c r="K118" t="s">
        <v>17</v>
      </c>
    </row>
    <row r="119" spans="1:11" x14ac:dyDescent="0.3">
      <c r="A119" t="s">
        <v>180</v>
      </c>
      <c r="B119" s="2">
        <v>45810</v>
      </c>
      <c r="C119" t="s">
        <v>41</v>
      </c>
      <c r="D119" t="s">
        <v>26</v>
      </c>
      <c r="E119" t="s">
        <v>32</v>
      </c>
      <c r="F119" t="s">
        <v>28</v>
      </c>
      <c r="G119">
        <v>3</v>
      </c>
      <c r="H119" s="3">
        <v>27730</v>
      </c>
      <c r="I119" s="3">
        <v>83190</v>
      </c>
      <c r="J119" t="s">
        <v>16</v>
      </c>
      <c r="K119" t="s">
        <v>37</v>
      </c>
    </row>
    <row r="120" spans="1:11" x14ac:dyDescent="0.3">
      <c r="A120" t="s">
        <v>181</v>
      </c>
      <c r="B120" s="2">
        <v>45855</v>
      </c>
      <c r="C120" t="s">
        <v>69</v>
      </c>
      <c r="D120" t="s">
        <v>53</v>
      </c>
      <c r="E120" t="s">
        <v>35</v>
      </c>
      <c r="F120" t="s">
        <v>36</v>
      </c>
      <c r="G120">
        <v>6</v>
      </c>
      <c r="H120" s="3">
        <v>12750</v>
      </c>
      <c r="I120" s="3">
        <v>76500</v>
      </c>
      <c r="J120" t="s">
        <v>16</v>
      </c>
      <c r="K120" t="s">
        <v>17</v>
      </c>
    </row>
    <row r="121" spans="1:11" x14ac:dyDescent="0.3">
      <c r="A121" t="s">
        <v>182</v>
      </c>
      <c r="B121" s="2">
        <v>45814</v>
      </c>
      <c r="C121" t="s">
        <v>60</v>
      </c>
      <c r="D121" t="s">
        <v>20</v>
      </c>
      <c r="E121" t="s">
        <v>14</v>
      </c>
      <c r="F121" t="s">
        <v>15</v>
      </c>
      <c r="G121">
        <v>1</v>
      </c>
      <c r="H121" s="3">
        <v>1880</v>
      </c>
      <c r="I121" s="3">
        <v>1880</v>
      </c>
      <c r="J121" t="s">
        <v>22</v>
      </c>
      <c r="K121" t="s">
        <v>17</v>
      </c>
    </row>
    <row r="122" spans="1:11" x14ac:dyDescent="0.3">
      <c r="A122" t="s">
        <v>183</v>
      </c>
      <c r="B122" s="2">
        <v>45946</v>
      </c>
      <c r="C122" t="s">
        <v>120</v>
      </c>
      <c r="D122" t="s">
        <v>13</v>
      </c>
      <c r="E122" t="s">
        <v>55</v>
      </c>
      <c r="F122" t="s">
        <v>47</v>
      </c>
      <c r="G122">
        <v>1</v>
      </c>
      <c r="H122" s="3">
        <v>8240</v>
      </c>
      <c r="I122" s="3">
        <v>8240</v>
      </c>
      <c r="J122" t="s">
        <v>22</v>
      </c>
      <c r="K122" t="s">
        <v>37</v>
      </c>
    </row>
    <row r="123" spans="1:11" x14ac:dyDescent="0.3">
      <c r="A123" t="s">
        <v>184</v>
      </c>
      <c r="B123" s="2">
        <v>45816</v>
      </c>
      <c r="C123" t="s">
        <v>31</v>
      </c>
      <c r="D123" t="s">
        <v>20</v>
      </c>
      <c r="E123" t="s">
        <v>35</v>
      </c>
      <c r="F123" t="s">
        <v>36</v>
      </c>
      <c r="G123">
        <v>5</v>
      </c>
      <c r="H123" s="3">
        <v>11710</v>
      </c>
      <c r="I123" s="3">
        <v>58550</v>
      </c>
      <c r="J123" t="s">
        <v>29</v>
      </c>
      <c r="K123" t="s">
        <v>33</v>
      </c>
    </row>
    <row r="124" spans="1:11" x14ac:dyDescent="0.3">
      <c r="A124" t="s">
        <v>185</v>
      </c>
      <c r="B124" s="2">
        <v>45704</v>
      </c>
      <c r="C124" t="s">
        <v>120</v>
      </c>
      <c r="D124" t="s">
        <v>20</v>
      </c>
      <c r="E124" t="s">
        <v>21</v>
      </c>
      <c r="F124" t="s">
        <v>15</v>
      </c>
      <c r="G124">
        <v>5</v>
      </c>
      <c r="H124" s="3">
        <v>850</v>
      </c>
      <c r="I124" s="3">
        <v>4250</v>
      </c>
      <c r="J124" t="s">
        <v>29</v>
      </c>
      <c r="K124" t="s">
        <v>37</v>
      </c>
    </row>
    <row r="125" spans="1:11" x14ac:dyDescent="0.3">
      <c r="A125" t="s">
        <v>186</v>
      </c>
      <c r="B125" s="2">
        <v>45939</v>
      </c>
      <c r="C125" t="s">
        <v>52</v>
      </c>
      <c r="D125" t="s">
        <v>53</v>
      </c>
      <c r="E125" t="s">
        <v>27</v>
      </c>
      <c r="F125" t="s">
        <v>28</v>
      </c>
      <c r="G125">
        <v>4</v>
      </c>
      <c r="H125" s="3">
        <v>52550</v>
      </c>
      <c r="I125" s="3">
        <v>210200</v>
      </c>
      <c r="J125" t="s">
        <v>29</v>
      </c>
      <c r="K125" t="s">
        <v>33</v>
      </c>
    </row>
    <row r="126" spans="1:11" x14ac:dyDescent="0.3">
      <c r="A126" t="s">
        <v>187</v>
      </c>
      <c r="B126" s="2">
        <v>45857</v>
      </c>
      <c r="C126" t="s">
        <v>31</v>
      </c>
      <c r="D126" t="s">
        <v>13</v>
      </c>
      <c r="E126" t="s">
        <v>64</v>
      </c>
      <c r="F126" t="s">
        <v>28</v>
      </c>
      <c r="G126">
        <v>6</v>
      </c>
      <c r="H126" s="3">
        <v>14690</v>
      </c>
      <c r="I126" s="3">
        <v>88140</v>
      </c>
      <c r="J126" t="s">
        <v>22</v>
      </c>
      <c r="K126" t="s">
        <v>17</v>
      </c>
    </row>
    <row r="127" spans="1:11" x14ac:dyDescent="0.3">
      <c r="A127" t="s">
        <v>188</v>
      </c>
      <c r="B127" s="2">
        <v>45768</v>
      </c>
      <c r="C127" t="s">
        <v>45</v>
      </c>
      <c r="D127" t="s">
        <v>20</v>
      </c>
      <c r="E127" t="s">
        <v>64</v>
      </c>
      <c r="F127" t="s">
        <v>28</v>
      </c>
      <c r="G127">
        <v>4</v>
      </c>
      <c r="H127" s="3">
        <v>14510</v>
      </c>
      <c r="I127" s="3">
        <v>58040</v>
      </c>
      <c r="J127" t="s">
        <v>16</v>
      </c>
      <c r="K127" t="s">
        <v>33</v>
      </c>
    </row>
    <row r="128" spans="1:11" x14ac:dyDescent="0.3">
      <c r="A128" t="s">
        <v>189</v>
      </c>
      <c r="B128" s="2">
        <v>45950</v>
      </c>
      <c r="C128" t="s">
        <v>45</v>
      </c>
      <c r="D128" t="s">
        <v>53</v>
      </c>
      <c r="E128" t="s">
        <v>27</v>
      </c>
      <c r="F128" t="s">
        <v>28</v>
      </c>
      <c r="G128">
        <v>8</v>
      </c>
      <c r="H128" s="3">
        <v>54410</v>
      </c>
      <c r="I128" s="3">
        <v>435280</v>
      </c>
      <c r="J128" t="s">
        <v>22</v>
      </c>
      <c r="K128" t="s">
        <v>56</v>
      </c>
    </row>
    <row r="129" spans="1:11" x14ac:dyDescent="0.3">
      <c r="A129" t="s">
        <v>190</v>
      </c>
      <c r="B129" s="2">
        <v>45686</v>
      </c>
      <c r="C129" t="s">
        <v>89</v>
      </c>
      <c r="D129" t="s">
        <v>20</v>
      </c>
      <c r="E129" t="s">
        <v>32</v>
      </c>
      <c r="F129" t="s">
        <v>28</v>
      </c>
      <c r="G129">
        <v>4</v>
      </c>
      <c r="H129" s="3">
        <v>27660</v>
      </c>
      <c r="I129" s="3">
        <v>110640</v>
      </c>
      <c r="J129" t="s">
        <v>29</v>
      </c>
      <c r="K129" t="s">
        <v>23</v>
      </c>
    </row>
    <row r="130" spans="1:11" x14ac:dyDescent="0.3">
      <c r="A130" t="s">
        <v>191</v>
      </c>
      <c r="B130" s="2">
        <v>46003</v>
      </c>
      <c r="C130" t="s">
        <v>89</v>
      </c>
      <c r="D130" t="s">
        <v>20</v>
      </c>
      <c r="E130" t="s">
        <v>39</v>
      </c>
      <c r="F130" t="s">
        <v>15</v>
      </c>
      <c r="G130">
        <v>1</v>
      </c>
      <c r="H130" s="3">
        <v>3060</v>
      </c>
      <c r="I130" s="3">
        <v>3060</v>
      </c>
      <c r="J130" t="s">
        <v>22</v>
      </c>
      <c r="K130" t="s">
        <v>56</v>
      </c>
    </row>
    <row r="131" spans="1:11" x14ac:dyDescent="0.3">
      <c r="A131" t="s">
        <v>192</v>
      </c>
      <c r="B131" s="2">
        <v>45806</v>
      </c>
      <c r="C131" t="s">
        <v>31</v>
      </c>
      <c r="D131" t="s">
        <v>26</v>
      </c>
      <c r="E131" t="s">
        <v>14</v>
      </c>
      <c r="F131" t="s">
        <v>15</v>
      </c>
      <c r="G131">
        <v>2</v>
      </c>
      <c r="H131" s="3">
        <v>1720</v>
      </c>
      <c r="I131" s="3">
        <v>3440</v>
      </c>
      <c r="J131" t="s">
        <v>29</v>
      </c>
      <c r="K131" t="s">
        <v>56</v>
      </c>
    </row>
    <row r="132" spans="1:11" x14ac:dyDescent="0.3">
      <c r="A132" t="s">
        <v>193</v>
      </c>
      <c r="B132" s="2">
        <v>45948</v>
      </c>
      <c r="C132" t="s">
        <v>66</v>
      </c>
      <c r="D132" t="s">
        <v>26</v>
      </c>
      <c r="E132" t="s">
        <v>64</v>
      </c>
      <c r="F132" t="s">
        <v>28</v>
      </c>
      <c r="G132">
        <v>5</v>
      </c>
      <c r="H132" s="3">
        <v>14740</v>
      </c>
      <c r="I132" s="3">
        <v>73700</v>
      </c>
      <c r="J132" t="s">
        <v>22</v>
      </c>
      <c r="K132" t="s">
        <v>17</v>
      </c>
    </row>
    <row r="133" spans="1:11" x14ac:dyDescent="0.3">
      <c r="A133" t="s">
        <v>194</v>
      </c>
      <c r="B133" s="2">
        <v>46004</v>
      </c>
      <c r="C133" t="s">
        <v>41</v>
      </c>
      <c r="D133" t="s">
        <v>20</v>
      </c>
      <c r="E133" t="s">
        <v>39</v>
      </c>
      <c r="F133" t="s">
        <v>15</v>
      </c>
      <c r="G133">
        <v>3</v>
      </c>
      <c r="H133" s="3">
        <v>3190</v>
      </c>
      <c r="I133" s="3">
        <v>9570</v>
      </c>
      <c r="J133" t="s">
        <v>16</v>
      </c>
      <c r="K133" t="s">
        <v>17</v>
      </c>
    </row>
    <row r="134" spans="1:11" x14ac:dyDescent="0.3">
      <c r="A134" t="s">
        <v>195</v>
      </c>
      <c r="B134" s="2">
        <v>45837</v>
      </c>
      <c r="C134" t="s">
        <v>69</v>
      </c>
      <c r="D134" t="s">
        <v>26</v>
      </c>
      <c r="E134" t="s">
        <v>21</v>
      </c>
      <c r="F134" t="s">
        <v>15</v>
      </c>
      <c r="G134">
        <v>1</v>
      </c>
      <c r="H134" s="3">
        <v>850</v>
      </c>
      <c r="I134" s="3">
        <v>850</v>
      </c>
      <c r="J134" t="s">
        <v>29</v>
      </c>
      <c r="K134" t="s">
        <v>56</v>
      </c>
    </row>
    <row r="135" spans="1:11" x14ac:dyDescent="0.3">
      <c r="A135" t="s">
        <v>196</v>
      </c>
      <c r="B135" s="2">
        <v>45706</v>
      </c>
      <c r="C135" t="s">
        <v>12</v>
      </c>
      <c r="D135" t="s">
        <v>26</v>
      </c>
      <c r="E135" t="s">
        <v>55</v>
      </c>
      <c r="F135" t="s">
        <v>47</v>
      </c>
      <c r="G135">
        <v>2</v>
      </c>
      <c r="H135" s="3">
        <v>8120</v>
      </c>
      <c r="I135" s="3">
        <v>16240</v>
      </c>
      <c r="J135" t="s">
        <v>29</v>
      </c>
      <c r="K135" t="s">
        <v>56</v>
      </c>
    </row>
    <row r="136" spans="1:11" x14ac:dyDescent="0.3">
      <c r="A136" t="s">
        <v>197</v>
      </c>
      <c r="B136" s="2">
        <v>46017</v>
      </c>
      <c r="C136" t="s">
        <v>41</v>
      </c>
      <c r="D136" t="s">
        <v>53</v>
      </c>
      <c r="E136" t="s">
        <v>35</v>
      </c>
      <c r="F136" t="s">
        <v>36</v>
      </c>
      <c r="G136">
        <v>6</v>
      </c>
      <c r="H136" s="3">
        <v>12570</v>
      </c>
      <c r="I136" s="3">
        <v>75420</v>
      </c>
      <c r="J136" t="s">
        <v>29</v>
      </c>
      <c r="K136" t="s">
        <v>50</v>
      </c>
    </row>
    <row r="137" spans="1:11" x14ac:dyDescent="0.3">
      <c r="A137" t="s">
        <v>198</v>
      </c>
      <c r="B137" s="2">
        <v>45975</v>
      </c>
      <c r="C137" t="s">
        <v>41</v>
      </c>
      <c r="D137" t="s">
        <v>26</v>
      </c>
      <c r="E137" t="s">
        <v>21</v>
      </c>
      <c r="F137" t="s">
        <v>15</v>
      </c>
      <c r="G137">
        <v>3</v>
      </c>
      <c r="H137" s="3">
        <v>940</v>
      </c>
      <c r="I137" s="3">
        <v>2820</v>
      </c>
      <c r="J137" t="s">
        <v>29</v>
      </c>
      <c r="K137" t="s">
        <v>23</v>
      </c>
    </row>
    <row r="138" spans="1:11" x14ac:dyDescent="0.3">
      <c r="A138" t="s">
        <v>199</v>
      </c>
      <c r="B138" s="2">
        <v>45832</v>
      </c>
      <c r="C138" t="s">
        <v>43</v>
      </c>
      <c r="D138" t="s">
        <v>13</v>
      </c>
      <c r="E138" t="s">
        <v>55</v>
      </c>
      <c r="F138" t="s">
        <v>47</v>
      </c>
      <c r="G138">
        <v>4</v>
      </c>
      <c r="H138" s="3">
        <v>8220</v>
      </c>
      <c r="I138" s="3">
        <v>32880</v>
      </c>
      <c r="J138" t="s">
        <v>22</v>
      </c>
      <c r="K138" t="s">
        <v>33</v>
      </c>
    </row>
    <row r="139" spans="1:11" x14ac:dyDescent="0.3">
      <c r="A139" t="s">
        <v>200</v>
      </c>
      <c r="B139" s="2">
        <v>45789</v>
      </c>
      <c r="C139" t="s">
        <v>60</v>
      </c>
      <c r="D139" t="s">
        <v>20</v>
      </c>
      <c r="E139" t="s">
        <v>35</v>
      </c>
      <c r="F139" t="s">
        <v>36</v>
      </c>
      <c r="G139">
        <v>3</v>
      </c>
      <c r="H139" s="3">
        <v>13030</v>
      </c>
      <c r="I139" s="3">
        <v>39090</v>
      </c>
      <c r="J139" t="s">
        <v>29</v>
      </c>
      <c r="K139" t="s">
        <v>17</v>
      </c>
    </row>
    <row r="140" spans="1:11" x14ac:dyDescent="0.3">
      <c r="A140" t="s">
        <v>201</v>
      </c>
      <c r="B140" s="2">
        <v>45744</v>
      </c>
      <c r="C140" t="s">
        <v>43</v>
      </c>
      <c r="D140" t="s">
        <v>53</v>
      </c>
      <c r="E140" t="s">
        <v>14</v>
      </c>
      <c r="F140" t="s">
        <v>15</v>
      </c>
      <c r="G140">
        <v>2</v>
      </c>
      <c r="H140" s="3">
        <v>1840</v>
      </c>
      <c r="I140" s="3">
        <v>3680</v>
      </c>
      <c r="J140" t="s">
        <v>29</v>
      </c>
      <c r="K140" t="s">
        <v>56</v>
      </c>
    </row>
    <row r="141" spans="1:11" x14ac:dyDescent="0.3">
      <c r="A141" t="s">
        <v>202</v>
      </c>
      <c r="B141" s="2">
        <v>45912</v>
      </c>
      <c r="C141" t="s">
        <v>45</v>
      </c>
      <c r="D141" t="s">
        <v>13</v>
      </c>
      <c r="E141" t="s">
        <v>35</v>
      </c>
      <c r="F141" t="s">
        <v>36</v>
      </c>
      <c r="G141">
        <v>2</v>
      </c>
      <c r="H141" s="3">
        <v>11890</v>
      </c>
      <c r="I141" s="3">
        <v>23780</v>
      </c>
      <c r="J141" t="s">
        <v>29</v>
      </c>
      <c r="K141" t="s">
        <v>50</v>
      </c>
    </row>
    <row r="142" spans="1:11" x14ac:dyDescent="0.3">
      <c r="A142" t="s">
        <v>203</v>
      </c>
      <c r="B142" s="2">
        <v>45948</v>
      </c>
      <c r="C142" t="s">
        <v>89</v>
      </c>
      <c r="D142" t="s">
        <v>20</v>
      </c>
      <c r="E142" t="s">
        <v>64</v>
      </c>
      <c r="F142" t="s">
        <v>28</v>
      </c>
      <c r="G142">
        <v>4</v>
      </c>
      <c r="H142" s="3">
        <v>13890</v>
      </c>
      <c r="I142" s="3">
        <v>55560</v>
      </c>
      <c r="J142" t="s">
        <v>22</v>
      </c>
      <c r="K142" t="s">
        <v>17</v>
      </c>
    </row>
    <row r="143" spans="1:11" x14ac:dyDescent="0.3">
      <c r="A143" t="s">
        <v>204</v>
      </c>
      <c r="B143" s="2">
        <v>45880</v>
      </c>
      <c r="C143" t="s">
        <v>80</v>
      </c>
      <c r="D143" t="s">
        <v>13</v>
      </c>
      <c r="E143" t="s">
        <v>39</v>
      </c>
      <c r="F143" t="s">
        <v>15</v>
      </c>
      <c r="G143">
        <v>8</v>
      </c>
      <c r="H143" s="3">
        <v>3020</v>
      </c>
      <c r="I143" s="3">
        <v>24160</v>
      </c>
      <c r="J143" t="s">
        <v>16</v>
      </c>
      <c r="K143" t="s">
        <v>37</v>
      </c>
    </row>
    <row r="144" spans="1:11" x14ac:dyDescent="0.3">
      <c r="A144" t="s">
        <v>205</v>
      </c>
      <c r="B144" s="2">
        <v>45693</v>
      </c>
      <c r="D144" t="s">
        <v>13</v>
      </c>
      <c r="E144" t="s">
        <v>27</v>
      </c>
      <c r="F144" t="s">
        <v>28</v>
      </c>
      <c r="G144">
        <v>2</v>
      </c>
      <c r="H144" s="3">
        <v>48060</v>
      </c>
      <c r="I144" s="3">
        <v>96120</v>
      </c>
      <c r="J144" t="s">
        <v>29</v>
      </c>
      <c r="K144" t="s">
        <v>50</v>
      </c>
    </row>
    <row r="145" spans="1:11" x14ac:dyDescent="0.3">
      <c r="A145" t="s">
        <v>206</v>
      </c>
      <c r="B145" s="2">
        <v>45776</v>
      </c>
      <c r="C145" t="s">
        <v>25</v>
      </c>
      <c r="D145" t="s">
        <v>20</v>
      </c>
      <c r="E145" t="s">
        <v>14</v>
      </c>
      <c r="F145" t="s">
        <v>15</v>
      </c>
      <c r="G145">
        <v>2</v>
      </c>
      <c r="H145" s="3">
        <v>1770</v>
      </c>
      <c r="I145" s="3">
        <v>3540</v>
      </c>
      <c r="J145" t="s">
        <v>29</v>
      </c>
      <c r="K145" t="s">
        <v>50</v>
      </c>
    </row>
    <row r="146" spans="1:11" x14ac:dyDescent="0.3">
      <c r="A146" t="s">
        <v>207</v>
      </c>
      <c r="B146" s="2">
        <v>46012</v>
      </c>
      <c r="C146" t="s">
        <v>66</v>
      </c>
      <c r="D146" t="s">
        <v>13</v>
      </c>
      <c r="E146" t="s">
        <v>21</v>
      </c>
      <c r="F146" t="s">
        <v>15</v>
      </c>
      <c r="G146">
        <v>3</v>
      </c>
      <c r="H146" s="3">
        <v>890</v>
      </c>
      <c r="I146" s="3">
        <v>2670</v>
      </c>
      <c r="J146" t="s">
        <v>22</v>
      </c>
      <c r="K146" t="s">
        <v>33</v>
      </c>
    </row>
    <row r="147" spans="1:11" x14ac:dyDescent="0.3">
      <c r="A147" t="s">
        <v>208</v>
      </c>
      <c r="B147" s="2">
        <v>45872</v>
      </c>
      <c r="C147" t="s">
        <v>41</v>
      </c>
      <c r="D147" t="s">
        <v>13</v>
      </c>
      <c r="E147" t="s">
        <v>64</v>
      </c>
      <c r="F147" t="s">
        <v>28</v>
      </c>
      <c r="G147">
        <v>6</v>
      </c>
      <c r="H147" s="3">
        <v>14470</v>
      </c>
      <c r="I147" s="3">
        <v>86820</v>
      </c>
      <c r="J147" t="s">
        <v>16</v>
      </c>
      <c r="K147" t="s">
        <v>56</v>
      </c>
    </row>
    <row r="148" spans="1:11" x14ac:dyDescent="0.3">
      <c r="A148" t="s">
        <v>209</v>
      </c>
      <c r="B148" s="2">
        <v>46016</v>
      </c>
      <c r="C148" t="s">
        <v>93</v>
      </c>
      <c r="D148" t="s">
        <v>13</v>
      </c>
      <c r="E148" t="s">
        <v>14</v>
      </c>
      <c r="F148" t="s">
        <v>15</v>
      </c>
      <c r="G148">
        <v>3</v>
      </c>
      <c r="H148" s="3">
        <v>1840</v>
      </c>
      <c r="I148" s="3">
        <v>5520</v>
      </c>
      <c r="J148" t="s">
        <v>22</v>
      </c>
      <c r="K148" t="s">
        <v>17</v>
      </c>
    </row>
    <row r="149" spans="1:11" x14ac:dyDescent="0.3">
      <c r="A149" t="s">
        <v>210</v>
      </c>
      <c r="B149" s="2">
        <v>45755</v>
      </c>
      <c r="C149" t="s">
        <v>75</v>
      </c>
      <c r="D149" t="s">
        <v>53</v>
      </c>
      <c r="E149" t="s">
        <v>21</v>
      </c>
      <c r="F149" t="s">
        <v>15</v>
      </c>
      <c r="G149">
        <v>1</v>
      </c>
      <c r="H149" s="3">
        <v>960</v>
      </c>
      <c r="I149" s="3">
        <v>960</v>
      </c>
      <c r="J149" t="s">
        <v>22</v>
      </c>
      <c r="K149" t="s">
        <v>37</v>
      </c>
    </row>
    <row r="150" spans="1:11" x14ac:dyDescent="0.3">
      <c r="A150" t="s">
        <v>211</v>
      </c>
      <c r="B150" s="2">
        <v>45691</v>
      </c>
      <c r="C150" t="s">
        <v>41</v>
      </c>
      <c r="D150" t="s">
        <v>26</v>
      </c>
      <c r="E150" t="s">
        <v>35</v>
      </c>
      <c r="F150" t="s">
        <v>36</v>
      </c>
      <c r="G150">
        <v>5</v>
      </c>
      <c r="H150" s="3">
        <v>12500</v>
      </c>
      <c r="I150" s="3">
        <v>62500</v>
      </c>
      <c r="J150" t="s">
        <v>29</v>
      </c>
      <c r="K150" t="s">
        <v>23</v>
      </c>
    </row>
    <row r="151" spans="1:11" x14ac:dyDescent="0.3">
      <c r="A151" t="s">
        <v>212</v>
      </c>
      <c r="B151" s="2">
        <v>45684</v>
      </c>
      <c r="C151" t="s">
        <v>69</v>
      </c>
      <c r="D151" t="s">
        <v>53</v>
      </c>
      <c r="E151" t="s">
        <v>55</v>
      </c>
      <c r="F151" t="s">
        <v>47</v>
      </c>
      <c r="G151">
        <v>2</v>
      </c>
      <c r="H151" s="3">
        <v>7830</v>
      </c>
      <c r="I151" s="3">
        <v>15660</v>
      </c>
      <c r="J151" t="s">
        <v>22</v>
      </c>
      <c r="K151" t="s">
        <v>33</v>
      </c>
    </row>
    <row r="152" spans="1:11" x14ac:dyDescent="0.3">
      <c r="A152" t="s">
        <v>213</v>
      </c>
      <c r="B152" s="2">
        <v>45847</v>
      </c>
      <c r="C152" t="s">
        <v>89</v>
      </c>
      <c r="D152" t="s">
        <v>20</v>
      </c>
      <c r="E152" t="s">
        <v>32</v>
      </c>
      <c r="F152" t="s">
        <v>28</v>
      </c>
      <c r="G152">
        <v>3</v>
      </c>
      <c r="H152" s="3">
        <v>28330</v>
      </c>
      <c r="I152" s="3">
        <v>84990</v>
      </c>
      <c r="J152" t="s">
        <v>22</v>
      </c>
      <c r="K152" t="s">
        <v>33</v>
      </c>
    </row>
    <row r="153" spans="1:11" x14ac:dyDescent="0.3">
      <c r="A153" t="s">
        <v>214</v>
      </c>
      <c r="B153" s="2">
        <v>45939</v>
      </c>
      <c r="C153" t="s">
        <v>52</v>
      </c>
      <c r="D153" t="s">
        <v>20</v>
      </c>
      <c r="E153" t="s">
        <v>39</v>
      </c>
      <c r="F153" t="s">
        <v>15</v>
      </c>
      <c r="G153">
        <v>2</v>
      </c>
      <c r="H153" s="3">
        <v>2990</v>
      </c>
      <c r="I153" s="3">
        <v>5980</v>
      </c>
      <c r="J153" t="s">
        <v>16</v>
      </c>
      <c r="K153" t="s">
        <v>33</v>
      </c>
    </row>
    <row r="154" spans="1:11" x14ac:dyDescent="0.3">
      <c r="A154" t="s">
        <v>215</v>
      </c>
      <c r="B154" s="2">
        <v>45755</v>
      </c>
      <c r="C154" t="s">
        <v>31</v>
      </c>
      <c r="D154" t="s">
        <v>20</v>
      </c>
      <c r="E154" t="s">
        <v>98</v>
      </c>
      <c r="F154" t="s">
        <v>15</v>
      </c>
      <c r="G154">
        <v>2</v>
      </c>
      <c r="H154" s="3">
        <v>2220</v>
      </c>
      <c r="I154" s="3">
        <v>4440</v>
      </c>
      <c r="J154" t="s">
        <v>22</v>
      </c>
      <c r="K154" t="s">
        <v>23</v>
      </c>
    </row>
    <row r="155" spans="1:11" x14ac:dyDescent="0.3">
      <c r="A155" t="s">
        <v>216</v>
      </c>
      <c r="B155" s="2">
        <v>45805</v>
      </c>
      <c r="C155" t="s">
        <v>101</v>
      </c>
      <c r="D155" t="s">
        <v>53</v>
      </c>
      <c r="E155" t="s">
        <v>98</v>
      </c>
      <c r="F155" t="s">
        <v>15</v>
      </c>
      <c r="G155">
        <v>2</v>
      </c>
      <c r="H155" s="3">
        <v>2030</v>
      </c>
      <c r="I155" s="3">
        <v>4060</v>
      </c>
      <c r="J155" t="s">
        <v>16</v>
      </c>
      <c r="K155" t="s">
        <v>56</v>
      </c>
    </row>
    <row r="156" spans="1:11" x14ac:dyDescent="0.3">
      <c r="A156" t="s">
        <v>217</v>
      </c>
      <c r="B156" s="2">
        <v>45811</v>
      </c>
      <c r="C156" t="s">
        <v>19</v>
      </c>
      <c r="D156" t="s">
        <v>26</v>
      </c>
      <c r="E156" t="s">
        <v>35</v>
      </c>
      <c r="F156" t="s">
        <v>36</v>
      </c>
      <c r="G156">
        <v>4</v>
      </c>
      <c r="H156" s="3">
        <v>12170</v>
      </c>
      <c r="I156" s="3">
        <v>48680</v>
      </c>
      <c r="J156" t="s">
        <v>29</v>
      </c>
      <c r="K156" t="s">
        <v>56</v>
      </c>
    </row>
    <row r="157" spans="1:11" x14ac:dyDescent="0.3">
      <c r="A157" t="s">
        <v>218</v>
      </c>
      <c r="B157" s="2">
        <v>45761</v>
      </c>
      <c r="C157" t="s">
        <v>103</v>
      </c>
      <c r="D157" t="s">
        <v>219</v>
      </c>
      <c r="E157" t="s">
        <v>14</v>
      </c>
      <c r="F157" t="s">
        <v>15</v>
      </c>
      <c r="G157">
        <v>3</v>
      </c>
      <c r="H157" s="3">
        <v>1860</v>
      </c>
      <c r="I157" s="3">
        <v>5580</v>
      </c>
      <c r="J157" t="s">
        <v>16</v>
      </c>
      <c r="K157" t="s">
        <v>17</v>
      </c>
    </row>
    <row r="158" spans="1:11" x14ac:dyDescent="0.3">
      <c r="A158" t="s">
        <v>220</v>
      </c>
      <c r="B158" s="2">
        <v>45759</v>
      </c>
      <c r="C158" t="s">
        <v>19</v>
      </c>
      <c r="D158" t="s">
        <v>20</v>
      </c>
      <c r="E158" t="s">
        <v>55</v>
      </c>
      <c r="F158" t="s">
        <v>47</v>
      </c>
      <c r="G158">
        <v>5</v>
      </c>
      <c r="H158" s="3">
        <v>8760</v>
      </c>
      <c r="I158" s="3">
        <v>43800</v>
      </c>
      <c r="J158" t="s">
        <v>16</v>
      </c>
      <c r="K158" t="s">
        <v>50</v>
      </c>
    </row>
    <row r="159" spans="1:11" x14ac:dyDescent="0.3">
      <c r="A159" t="s">
        <v>221</v>
      </c>
      <c r="B159" s="2">
        <v>45987</v>
      </c>
      <c r="C159" t="s">
        <v>41</v>
      </c>
      <c r="D159" t="s">
        <v>53</v>
      </c>
      <c r="E159" t="s">
        <v>27</v>
      </c>
      <c r="F159" t="s">
        <v>28</v>
      </c>
      <c r="G159">
        <v>8</v>
      </c>
      <c r="H159" s="3">
        <v>48980</v>
      </c>
      <c r="I159" s="3">
        <v>391840</v>
      </c>
      <c r="J159" t="s">
        <v>22</v>
      </c>
      <c r="K159" t="s">
        <v>17</v>
      </c>
    </row>
    <row r="160" spans="1:11" x14ac:dyDescent="0.3">
      <c r="A160" t="s">
        <v>222</v>
      </c>
      <c r="B160" s="2">
        <v>45855</v>
      </c>
      <c r="C160" t="s">
        <v>45</v>
      </c>
      <c r="D160" t="s">
        <v>26</v>
      </c>
      <c r="E160" t="s">
        <v>98</v>
      </c>
      <c r="F160" t="s">
        <v>15</v>
      </c>
      <c r="G160">
        <v>5</v>
      </c>
      <c r="H160" s="3">
        <v>2260</v>
      </c>
      <c r="I160" s="3">
        <v>11300</v>
      </c>
      <c r="J160" t="s">
        <v>22</v>
      </c>
      <c r="K160" t="s">
        <v>56</v>
      </c>
    </row>
    <row r="161" spans="1:11" x14ac:dyDescent="0.3">
      <c r="A161" t="s">
        <v>223</v>
      </c>
      <c r="B161" s="2">
        <v>45683</v>
      </c>
      <c r="C161" t="s">
        <v>31</v>
      </c>
      <c r="D161" t="s">
        <v>20</v>
      </c>
      <c r="E161" t="s">
        <v>32</v>
      </c>
      <c r="F161" t="s">
        <v>28</v>
      </c>
      <c r="G161">
        <v>4</v>
      </c>
      <c r="H161" s="3">
        <v>25990</v>
      </c>
      <c r="I161" s="3">
        <v>103960</v>
      </c>
      <c r="J161" t="s">
        <v>22</v>
      </c>
      <c r="K161" t="s">
        <v>56</v>
      </c>
    </row>
    <row r="162" spans="1:11" x14ac:dyDescent="0.3">
      <c r="A162" t="s">
        <v>224</v>
      </c>
      <c r="B162" s="2">
        <v>45927</v>
      </c>
      <c r="C162" t="s">
        <v>31</v>
      </c>
      <c r="D162" t="s">
        <v>26</v>
      </c>
      <c r="E162" t="s">
        <v>64</v>
      </c>
      <c r="F162" t="s">
        <v>28</v>
      </c>
      <c r="G162">
        <v>3</v>
      </c>
      <c r="H162" s="3">
        <v>15460</v>
      </c>
      <c r="I162" s="3">
        <v>46380</v>
      </c>
      <c r="J162" t="s">
        <v>16</v>
      </c>
      <c r="K162" t="s">
        <v>56</v>
      </c>
    </row>
    <row r="163" spans="1:11" x14ac:dyDescent="0.3">
      <c r="A163" t="s">
        <v>225</v>
      </c>
      <c r="B163" s="2">
        <v>45739</v>
      </c>
      <c r="C163" t="s">
        <v>66</v>
      </c>
      <c r="D163" t="s">
        <v>53</v>
      </c>
      <c r="E163" t="s">
        <v>64</v>
      </c>
      <c r="F163" t="s">
        <v>28</v>
      </c>
      <c r="G163">
        <v>1</v>
      </c>
      <c r="H163" s="3">
        <v>14320</v>
      </c>
      <c r="I163" s="3">
        <v>14320</v>
      </c>
      <c r="J163" t="s">
        <v>16</v>
      </c>
      <c r="K163" t="s">
        <v>37</v>
      </c>
    </row>
    <row r="164" spans="1:11" x14ac:dyDescent="0.3">
      <c r="A164" t="s">
        <v>226</v>
      </c>
      <c r="B164" s="2">
        <v>45809</v>
      </c>
      <c r="C164" t="s">
        <v>85</v>
      </c>
      <c r="D164" t="s">
        <v>20</v>
      </c>
      <c r="E164" t="s">
        <v>35</v>
      </c>
      <c r="F164" t="s">
        <v>36</v>
      </c>
      <c r="G164">
        <v>4</v>
      </c>
      <c r="H164" s="3">
        <v>12800</v>
      </c>
      <c r="I164" s="3">
        <v>51200</v>
      </c>
      <c r="J164" t="s">
        <v>29</v>
      </c>
      <c r="K164" t="s">
        <v>37</v>
      </c>
    </row>
    <row r="165" spans="1:11" x14ac:dyDescent="0.3">
      <c r="A165" t="s">
        <v>227</v>
      </c>
      <c r="B165" s="2">
        <v>46021</v>
      </c>
      <c r="C165" t="s">
        <v>12</v>
      </c>
      <c r="D165" t="s">
        <v>53</v>
      </c>
      <c r="E165" t="s">
        <v>46</v>
      </c>
      <c r="F165" t="s">
        <v>47</v>
      </c>
      <c r="G165">
        <v>3</v>
      </c>
      <c r="H165" s="3">
        <v>11890</v>
      </c>
      <c r="I165" s="3">
        <v>35670</v>
      </c>
      <c r="J165" t="s">
        <v>29</v>
      </c>
      <c r="K165" t="s">
        <v>33</v>
      </c>
    </row>
    <row r="166" spans="1:11" x14ac:dyDescent="0.3">
      <c r="A166" t="s">
        <v>228</v>
      </c>
      <c r="B166" s="2">
        <v>45673</v>
      </c>
      <c r="C166" t="s">
        <v>49</v>
      </c>
      <c r="D166" t="s">
        <v>13</v>
      </c>
      <c r="E166" t="s">
        <v>55</v>
      </c>
      <c r="F166" t="s">
        <v>47</v>
      </c>
      <c r="G166">
        <v>2</v>
      </c>
      <c r="H166" s="3">
        <v>8670</v>
      </c>
      <c r="I166" s="3">
        <v>17340</v>
      </c>
      <c r="J166" t="s">
        <v>22</v>
      </c>
      <c r="K166" t="s">
        <v>37</v>
      </c>
    </row>
    <row r="167" spans="1:11" x14ac:dyDescent="0.3">
      <c r="A167" t="s">
        <v>229</v>
      </c>
      <c r="B167" s="2">
        <v>45904</v>
      </c>
      <c r="C167" t="s">
        <v>49</v>
      </c>
      <c r="D167" t="s">
        <v>26</v>
      </c>
      <c r="E167" t="s">
        <v>27</v>
      </c>
      <c r="F167" t="s">
        <v>28</v>
      </c>
      <c r="G167">
        <v>6</v>
      </c>
      <c r="H167" s="3">
        <v>48020</v>
      </c>
      <c r="I167" s="3">
        <v>288120</v>
      </c>
      <c r="J167" t="s">
        <v>22</v>
      </c>
      <c r="K167" t="s">
        <v>17</v>
      </c>
    </row>
    <row r="168" spans="1:11" x14ac:dyDescent="0.3">
      <c r="A168" t="s">
        <v>230</v>
      </c>
      <c r="B168" s="2">
        <v>45975</v>
      </c>
      <c r="C168" t="s">
        <v>25</v>
      </c>
      <c r="D168" t="s">
        <v>26</v>
      </c>
      <c r="E168" t="s">
        <v>27</v>
      </c>
      <c r="F168" t="s">
        <v>28</v>
      </c>
      <c r="G168">
        <v>1</v>
      </c>
      <c r="H168" s="3">
        <v>48280</v>
      </c>
      <c r="I168" s="3">
        <v>48280</v>
      </c>
      <c r="J168" t="s">
        <v>16</v>
      </c>
      <c r="K168" t="s">
        <v>56</v>
      </c>
    </row>
    <row r="169" spans="1:11" x14ac:dyDescent="0.3">
      <c r="A169" t="s">
        <v>231</v>
      </c>
      <c r="B169" s="2">
        <v>45722</v>
      </c>
      <c r="C169" t="s">
        <v>41</v>
      </c>
      <c r="D169" t="s">
        <v>53</v>
      </c>
      <c r="E169" t="s">
        <v>55</v>
      </c>
      <c r="F169" t="s">
        <v>47</v>
      </c>
      <c r="G169">
        <v>3</v>
      </c>
      <c r="H169" s="3">
        <v>8390</v>
      </c>
      <c r="I169" s="3">
        <v>25170</v>
      </c>
      <c r="J169" t="s">
        <v>29</v>
      </c>
      <c r="K169" t="s">
        <v>23</v>
      </c>
    </row>
    <row r="170" spans="1:11" x14ac:dyDescent="0.3">
      <c r="A170" t="s">
        <v>232</v>
      </c>
      <c r="B170" s="2">
        <v>45950</v>
      </c>
      <c r="C170" t="s">
        <v>80</v>
      </c>
      <c r="D170" t="s">
        <v>26</v>
      </c>
      <c r="E170" t="s">
        <v>14</v>
      </c>
      <c r="F170" t="s">
        <v>15</v>
      </c>
      <c r="G170">
        <v>6</v>
      </c>
      <c r="H170" s="3">
        <v>1860</v>
      </c>
      <c r="I170" s="3">
        <v>11160</v>
      </c>
      <c r="J170" t="s">
        <v>29</v>
      </c>
      <c r="K170" t="s">
        <v>23</v>
      </c>
    </row>
    <row r="171" spans="1:11" x14ac:dyDescent="0.3">
      <c r="A171" t="s">
        <v>233</v>
      </c>
      <c r="B171" s="2">
        <v>45797</v>
      </c>
      <c r="C171" t="s">
        <v>75</v>
      </c>
      <c r="D171" t="s">
        <v>26</v>
      </c>
      <c r="E171" t="s">
        <v>27</v>
      </c>
      <c r="F171" t="s">
        <v>28</v>
      </c>
      <c r="G171">
        <v>1</v>
      </c>
      <c r="H171" s="3">
        <v>51100</v>
      </c>
      <c r="I171" s="3">
        <v>51100</v>
      </c>
      <c r="J171" t="s">
        <v>29</v>
      </c>
      <c r="K171" t="s">
        <v>17</v>
      </c>
    </row>
    <row r="172" spans="1:11" x14ac:dyDescent="0.3">
      <c r="A172" t="s">
        <v>234</v>
      </c>
      <c r="B172" s="2">
        <v>46001</v>
      </c>
      <c r="C172" t="s">
        <v>52</v>
      </c>
      <c r="D172" t="s">
        <v>13</v>
      </c>
      <c r="E172" t="s">
        <v>32</v>
      </c>
      <c r="F172" t="s">
        <v>28</v>
      </c>
      <c r="G172">
        <v>10</v>
      </c>
      <c r="H172" s="3">
        <v>29720</v>
      </c>
      <c r="I172" s="3">
        <v>297200</v>
      </c>
      <c r="J172" t="s">
        <v>29</v>
      </c>
      <c r="K172" t="s">
        <v>37</v>
      </c>
    </row>
    <row r="173" spans="1:11" x14ac:dyDescent="0.3">
      <c r="A173" t="s">
        <v>235</v>
      </c>
      <c r="B173" s="2">
        <v>45805</v>
      </c>
      <c r="C173" t="s">
        <v>101</v>
      </c>
      <c r="D173" t="s">
        <v>26</v>
      </c>
      <c r="E173" t="s">
        <v>64</v>
      </c>
      <c r="F173" t="s">
        <v>28</v>
      </c>
      <c r="G173">
        <v>10</v>
      </c>
      <c r="H173" s="3">
        <v>13880</v>
      </c>
      <c r="I173" s="3">
        <v>138800</v>
      </c>
      <c r="J173" t="s">
        <v>22</v>
      </c>
      <c r="K173" t="s">
        <v>37</v>
      </c>
    </row>
    <row r="174" spans="1:11" x14ac:dyDescent="0.3">
      <c r="A174" t="s">
        <v>236</v>
      </c>
      <c r="B174" s="2">
        <v>45916</v>
      </c>
      <c r="C174" t="s">
        <v>69</v>
      </c>
      <c r="D174" t="s">
        <v>26</v>
      </c>
      <c r="E174" t="s">
        <v>27</v>
      </c>
      <c r="F174" t="s">
        <v>28</v>
      </c>
      <c r="G174">
        <v>2</v>
      </c>
      <c r="H174" s="3">
        <v>48150</v>
      </c>
      <c r="I174" s="3">
        <v>96300</v>
      </c>
      <c r="J174" t="s">
        <v>29</v>
      </c>
      <c r="K174" t="s">
        <v>23</v>
      </c>
    </row>
    <row r="175" spans="1:11" x14ac:dyDescent="0.3">
      <c r="A175" t="s">
        <v>237</v>
      </c>
      <c r="B175" s="2">
        <v>45898</v>
      </c>
      <c r="C175" t="s">
        <v>103</v>
      </c>
      <c r="D175" t="s">
        <v>53</v>
      </c>
      <c r="E175" t="s">
        <v>39</v>
      </c>
      <c r="F175" t="s">
        <v>15</v>
      </c>
      <c r="G175">
        <v>6</v>
      </c>
      <c r="H175" s="3">
        <v>3420</v>
      </c>
      <c r="I175" s="3">
        <v>20520</v>
      </c>
      <c r="J175" t="s">
        <v>22</v>
      </c>
      <c r="K175" t="s">
        <v>37</v>
      </c>
    </row>
    <row r="176" spans="1:11" x14ac:dyDescent="0.3">
      <c r="A176" t="s">
        <v>238</v>
      </c>
      <c r="B176" s="2">
        <v>45926</v>
      </c>
      <c r="C176" t="s">
        <v>31</v>
      </c>
      <c r="D176" t="s">
        <v>26</v>
      </c>
      <c r="E176" t="s">
        <v>98</v>
      </c>
      <c r="F176" t="s">
        <v>15</v>
      </c>
      <c r="G176">
        <v>1</v>
      </c>
      <c r="H176" s="3">
        <v>2310</v>
      </c>
      <c r="I176" s="3">
        <v>2310</v>
      </c>
      <c r="J176" t="s">
        <v>29</v>
      </c>
      <c r="K176" t="s">
        <v>33</v>
      </c>
    </row>
    <row r="177" spans="1:11" x14ac:dyDescent="0.3">
      <c r="A177" t="s">
        <v>239</v>
      </c>
      <c r="B177" s="2">
        <v>45980</v>
      </c>
      <c r="C177" t="s">
        <v>93</v>
      </c>
      <c r="D177" t="s">
        <v>53</v>
      </c>
      <c r="E177" t="s">
        <v>32</v>
      </c>
      <c r="F177" t="s">
        <v>28</v>
      </c>
      <c r="G177">
        <v>1</v>
      </c>
      <c r="H177" s="3">
        <v>29690</v>
      </c>
      <c r="I177" s="3">
        <v>29690</v>
      </c>
      <c r="J177" t="s">
        <v>29</v>
      </c>
      <c r="K177" t="s">
        <v>37</v>
      </c>
    </row>
    <row r="178" spans="1:11" x14ac:dyDescent="0.3">
      <c r="A178" t="s">
        <v>240</v>
      </c>
      <c r="B178" s="2">
        <v>45918</v>
      </c>
      <c r="C178" t="s">
        <v>52</v>
      </c>
      <c r="D178" t="s">
        <v>53</v>
      </c>
      <c r="E178" t="s">
        <v>46</v>
      </c>
      <c r="F178" t="s">
        <v>47</v>
      </c>
      <c r="G178">
        <v>5</v>
      </c>
      <c r="H178" s="3">
        <v>12300</v>
      </c>
      <c r="I178" s="3">
        <v>61500</v>
      </c>
      <c r="J178" t="s">
        <v>22</v>
      </c>
      <c r="K178" t="s">
        <v>33</v>
      </c>
    </row>
    <row r="179" spans="1:11" x14ac:dyDescent="0.3">
      <c r="A179" t="s">
        <v>241</v>
      </c>
      <c r="B179" s="2">
        <v>45747</v>
      </c>
      <c r="C179" t="s">
        <v>43</v>
      </c>
      <c r="D179" t="s">
        <v>13</v>
      </c>
      <c r="E179" t="s">
        <v>14</v>
      </c>
      <c r="F179" t="s">
        <v>15</v>
      </c>
      <c r="G179">
        <v>2</v>
      </c>
      <c r="H179" s="3">
        <v>1860</v>
      </c>
      <c r="I179" s="3">
        <v>3720</v>
      </c>
      <c r="J179" t="s">
        <v>29</v>
      </c>
      <c r="K179" t="s">
        <v>33</v>
      </c>
    </row>
    <row r="180" spans="1:11" x14ac:dyDescent="0.3">
      <c r="A180" t="s">
        <v>242</v>
      </c>
      <c r="B180" s="2">
        <v>45771</v>
      </c>
      <c r="C180" t="s">
        <v>243</v>
      </c>
      <c r="D180" t="s">
        <v>26</v>
      </c>
      <c r="E180" t="s">
        <v>27</v>
      </c>
      <c r="F180" t="s">
        <v>28</v>
      </c>
      <c r="G180">
        <v>6</v>
      </c>
      <c r="H180" s="3">
        <v>56090</v>
      </c>
      <c r="I180" s="3">
        <v>336540</v>
      </c>
      <c r="J180" t="s">
        <v>22</v>
      </c>
      <c r="K180" t="s">
        <v>50</v>
      </c>
    </row>
    <row r="181" spans="1:11" x14ac:dyDescent="0.3">
      <c r="A181" t="s">
        <v>244</v>
      </c>
      <c r="B181" s="2">
        <v>45697</v>
      </c>
      <c r="C181" t="s">
        <v>49</v>
      </c>
      <c r="D181" t="s">
        <v>26</v>
      </c>
      <c r="E181" t="s">
        <v>46</v>
      </c>
      <c r="F181" t="s">
        <v>47</v>
      </c>
      <c r="G181">
        <v>3</v>
      </c>
      <c r="H181" s="3">
        <v>12310</v>
      </c>
      <c r="I181" s="3">
        <v>36930</v>
      </c>
      <c r="J181" t="s">
        <v>29</v>
      </c>
      <c r="K181" t="s">
        <v>23</v>
      </c>
    </row>
    <row r="182" spans="1:11" x14ac:dyDescent="0.3">
      <c r="A182" t="s">
        <v>245</v>
      </c>
      <c r="B182" s="2">
        <v>45716</v>
      </c>
      <c r="C182" t="s">
        <v>80</v>
      </c>
      <c r="D182" t="s">
        <v>26</v>
      </c>
      <c r="E182" t="s">
        <v>35</v>
      </c>
      <c r="F182" t="s">
        <v>36</v>
      </c>
      <c r="G182">
        <v>6</v>
      </c>
      <c r="H182" s="3">
        <v>11990</v>
      </c>
      <c r="I182" s="3">
        <v>71940</v>
      </c>
      <c r="J182" t="s">
        <v>29</v>
      </c>
      <c r="K182" t="s">
        <v>17</v>
      </c>
    </row>
    <row r="183" spans="1:11" x14ac:dyDescent="0.3">
      <c r="A183" t="s">
        <v>246</v>
      </c>
      <c r="B183" s="2">
        <v>45812</v>
      </c>
      <c r="C183" t="s">
        <v>69</v>
      </c>
      <c r="D183" t="s">
        <v>20</v>
      </c>
      <c r="E183" t="s">
        <v>64</v>
      </c>
      <c r="F183" t="s">
        <v>28</v>
      </c>
      <c r="G183">
        <v>8</v>
      </c>
      <c r="H183" s="3">
        <v>13590</v>
      </c>
      <c r="I183" s="3">
        <v>108720</v>
      </c>
      <c r="J183" t="s">
        <v>16</v>
      </c>
      <c r="K183" t="s">
        <v>50</v>
      </c>
    </row>
    <row r="184" spans="1:11" x14ac:dyDescent="0.3">
      <c r="A184" t="s">
        <v>247</v>
      </c>
      <c r="B184" s="2">
        <v>45680</v>
      </c>
      <c r="C184" t="s">
        <v>103</v>
      </c>
      <c r="D184" t="s">
        <v>13</v>
      </c>
      <c r="E184" t="s">
        <v>46</v>
      </c>
      <c r="F184" t="s">
        <v>47</v>
      </c>
      <c r="G184">
        <v>6</v>
      </c>
      <c r="H184" s="3">
        <v>11100</v>
      </c>
      <c r="I184" s="3">
        <v>66600</v>
      </c>
      <c r="J184" t="s">
        <v>16</v>
      </c>
      <c r="K184" t="s">
        <v>50</v>
      </c>
    </row>
    <row r="185" spans="1:11" x14ac:dyDescent="0.3">
      <c r="A185" t="s">
        <v>248</v>
      </c>
      <c r="B185" s="2">
        <v>45863</v>
      </c>
      <c r="C185" t="s">
        <v>49</v>
      </c>
      <c r="D185" t="s">
        <v>26</v>
      </c>
      <c r="E185" t="s">
        <v>98</v>
      </c>
      <c r="F185" t="s">
        <v>15</v>
      </c>
      <c r="G185">
        <v>1</v>
      </c>
      <c r="H185" s="3">
        <v>2310</v>
      </c>
      <c r="I185" s="3">
        <v>2310</v>
      </c>
      <c r="J185" t="s">
        <v>16</v>
      </c>
      <c r="K185" t="s">
        <v>37</v>
      </c>
    </row>
    <row r="186" spans="1:11" x14ac:dyDescent="0.3">
      <c r="A186" t="s">
        <v>249</v>
      </c>
      <c r="B186" s="2">
        <v>45674</v>
      </c>
      <c r="C186" t="s">
        <v>45</v>
      </c>
      <c r="D186" t="s">
        <v>53</v>
      </c>
      <c r="E186" t="s">
        <v>14</v>
      </c>
      <c r="F186" t="s">
        <v>15</v>
      </c>
      <c r="G186">
        <v>4</v>
      </c>
      <c r="H186" s="3">
        <v>1940</v>
      </c>
      <c r="I186" s="3">
        <v>7760</v>
      </c>
      <c r="J186" t="s">
        <v>22</v>
      </c>
      <c r="K186" t="s">
        <v>33</v>
      </c>
    </row>
    <row r="187" spans="1:11" x14ac:dyDescent="0.3">
      <c r="A187" t="s">
        <v>250</v>
      </c>
      <c r="B187" s="2">
        <v>45731</v>
      </c>
      <c r="C187" t="s">
        <v>93</v>
      </c>
      <c r="D187" t="s">
        <v>20</v>
      </c>
      <c r="E187" t="s">
        <v>27</v>
      </c>
      <c r="F187" t="s">
        <v>28</v>
      </c>
      <c r="G187">
        <v>5</v>
      </c>
      <c r="H187" s="3">
        <v>48910</v>
      </c>
      <c r="I187" s="3">
        <v>244550</v>
      </c>
      <c r="J187" t="s">
        <v>22</v>
      </c>
      <c r="K187" t="s">
        <v>33</v>
      </c>
    </row>
    <row r="188" spans="1:11" x14ac:dyDescent="0.3">
      <c r="A188" t="s">
        <v>251</v>
      </c>
      <c r="B188" s="2">
        <v>45853</v>
      </c>
      <c r="C188" t="s">
        <v>66</v>
      </c>
      <c r="D188" t="s">
        <v>20</v>
      </c>
      <c r="E188" t="s">
        <v>32</v>
      </c>
      <c r="F188" t="s">
        <v>28</v>
      </c>
      <c r="G188">
        <v>8</v>
      </c>
      <c r="H188" s="3">
        <v>26220</v>
      </c>
      <c r="I188" s="3">
        <v>209760</v>
      </c>
      <c r="J188" t="s">
        <v>22</v>
      </c>
      <c r="K188" t="s">
        <v>33</v>
      </c>
    </row>
    <row r="189" spans="1:11" x14ac:dyDescent="0.3">
      <c r="A189" t="s">
        <v>252</v>
      </c>
      <c r="B189" s="2">
        <v>45850</v>
      </c>
      <c r="C189" t="s">
        <v>43</v>
      </c>
      <c r="D189" t="s">
        <v>13</v>
      </c>
      <c r="E189" t="s">
        <v>14</v>
      </c>
      <c r="F189" t="s">
        <v>15</v>
      </c>
      <c r="G189">
        <v>4</v>
      </c>
      <c r="H189" s="3">
        <v>1680</v>
      </c>
      <c r="I189" s="3">
        <v>6720</v>
      </c>
      <c r="J189" t="s">
        <v>22</v>
      </c>
      <c r="K189" t="s">
        <v>50</v>
      </c>
    </row>
    <row r="190" spans="1:11" x14ac:dyDescent="0.3">
      <c r="A190" t="s">
        <v>253</v>
      </c>
      <c r="B190" s="2">
        <v>45664</v>
      </c>
      <c r="C190" t="s">
        <v>52</v>
      </c>
      <c r="D190" t="s">
        <v>26</v>
      </c>
      <c r="E190" t="s">
        <v>21</v>
      </c>
      <c r="F190" t="s">
        <v>15</v>
      </c>
      <c r="G190">
        <v>4</v>
      </c>
      <c r="H190" s="3">
        <v>910</v>
      </c>
      <c r="I190" s="3">
        <v>3640</v>
      </c>
      <c r="J190" t="s">
        <v>22</v>
      </c>
      <c r="K190" t="s">
        <v>17</v>
      </c>
    </row>
    <row r="191" spans="1:11" x14ac:dyDescent="0.3">
      <c r="A191" t="s">
        <v>254</v>
      </c>
      <c r="B191" s="2">
        <v>45883</v>
      </c>
      <c r="C191" t="s">
        <v>120</v>
      </c>
      <c r="D191" t="s">
        <v>26</v>
      </c>
      <c r="E191" t="s">
        <v>64</v>
      </c>
      <c r="F191" t="s">
        <v>28</v>
      </c>
      <c r="G191">
        <v>1</v>
      </c>
      <c r="H191" s="3">
        <v>13710</v>
      </c>
      <c r="I191" s="3">
        <v>13710</v>
      </c>
      <c r="J191" t="s">
        <v>16</v>
      </c>
      <c r="K191" t="s">
        <v>50</v>
      </c>
    </row>
    <row r="192" spans="1:11" x14ac:dyDescent="0.3">
      <c r="A192" t="s">
        <v>255</v>
      </c>
      <c r="B192" s="2">
        <v>45732</v>
      </c>
      <c r="C192" t="s">
        <v>66</v>
      </c>
      <c r="D192" t="s">
        <v>20</v>
      </c>
      <c r="E192" t="s">
        <v>46</v>
      </c>
      <c r="F192" t="s">
        <v>47</v>
      </c>
      <c r="G192">
        <v>3</v>
      </c>
      <c r="H192" s="3">
        <v>12630</v>
      </c>
      <c r="I192" s="3">
        <v>37890</v>
      </c>
      <c r="J192" t="s">
        <v>22</v>
      </c>
      <c r="K192" t="s">
        <v>23</v>
      </c>
    </row>
    <row r="193" spans="1:11" x14ac:dyDescent="0.3">
      <c r="A193" t="s">
        <v>256</v>
      </c>
      <c r="B193" s="2">
        <v>45893</v>
      </c>
      <c r="C193" t="s">
        <v>31</v>
      </c>
      <c r="D193" t="s">
        <v>20</v>
      </c>
      <c r="E193" t="s">
        <v>64</v>
      </c>
      <c r="F193" t="s">
        <v>28</v>
      </c>
      <c r="G193">
        <v>1</v>
      </c>
      <c r="H193" s="3">
        <v>15350</v>
      </c>
      <c r="I193" s="3">
        <v>15350</v>
      </c>
      <c r="J193" t="s">
        <v>29</v>
      </c>
      <c r="K193" t="s">
        <v>17</v>
      </c>
    </row>
    <row r="194" spans="1:11" x14ac:dyDescent="0.3">
      <c r="A194" t="s">
        <v>257</v>
      </c>
      <c r="B194" s="2">
        <v>45914</v>
      </c>
      <c r="C194" t="s">
        <v>69</v>
      </c>
      <c r="D194" t="s">
        <v>53</v>
      </c>
      <c r="E194" t="s">
        <v>39</v>
      </c>
      <c r="F194" t="s">
        <v>15</v>
      </c>
      <c r="G194">
        <v>5</v>
      </c>
      <c r="H194" s="3">
        <v>3170</v>
      </c>
      <c r="I194" s="3">
        <v>15850</v>
      </c>
      <c r="J194" t="s">
        <v>22</v>
      </c>
      <c r="K194" t="s">
        <v>50</v>
      </c>
    </row>
    <row r="195" spans="1:11" x14ac:dyDescent="0.3">
      <c r="A195" t="s">
        <v>258</v>
      </c>
      <c r="B195" s="2">
        <v>45931</v>
      </c>
      <c r="C195" t="s">
        <v>31</v>
      </c>
      <c r="D195" t="s">
        <v>20</v>
      </c>
      <c r="E195" t="s">
        <v>64</v>
      </c>
      <c r="F195" t="s">
        <v>28</v>
      </c>
      <c r="G195">
        <v>6</v>
      </c>
      <c r="H195" s="3">
        <v>15000</v>
      </c>
      <c r="I195" s="3">
        <v>90000</v>
      </c>
      <c r="J195" t="s">
        <v>16</v>
      </c>
      <c r="K195" t="s">
        <v>33</v>
      </c>
    </row>
    <row r="196" spans="1:11" x14ac:dyDescent="0.3">
      <c r="A196" t="s">
        <v>259</v>
      </c>
      <c r="B196" s="2">
        <v>45736</v>
      </c>
      <c r="C196" t="s">
        <v>89</v>
      </c>
      <c r="D196" t="s">
        <v>13</v>
      </c>
      <c r="E196" t="s">
        <v>64</v>
      </c>
      <c r="F196" t="s">
        <v>28</v>
      </c>
      <c r="G196">
        <v>6</v>
      </c>
      <c r="H196" s="3">
        <v>15140</v>
      </c>
      <c r="I196" s="3">
        <v>90840</v>
      </c>
      <c r="J196" t="s">
        <v>16</v>
      </c>
      <c r="K196" t="s">
        <v>17</v>
      </c>
    </row>
    <row r="197" spans="1:11" x14ac:dyDescent="0.3">
      <c r="A197" t="s">
        <v>260</v>
      </c>
      <c r="B197" s="2">
        <v>45703</v>
      </c>
      <c r="C197" t="s">
        <v>31</v>
      </c>
      <c r="D197" t="s">
        <v>26</v>
      </c>
      <c r="E197" t="s">
        <v>55</v>
      </c>
      <c r="F197" t="s">
        <v>47</v>
      </c>
      <c r="G197">
        <v>2</v>
      </c>
      <c r="H197" s="3">
        <v>9060</v>
      </c>
      <c r="I197" s="3">
        <v>18120</v>
      </c>
      <c r="J197" t="s">
        <v>22</v>
      </c>
      <c r="K197" t="s">
        <v>23</v>
      </c>
    </row>
    <row r="198" spans="1:11" x14ac:dyDescent="0.3">
      <c r="A198" t="s">
        <v>261</v>
      </c>
      <c r="B198" s="2">
        <v>45666</v>
      </c>
      <c r="C198" t="s">
        <v>69</v>
      </c>
      <c r="D198" t="s">
        <v>20</v>
      </c>
      <c r="E198" t="s">
        <v>32</v>
      </c>
      <c r="F198" t="s">
        <v>28</v>
      </c>
      <c r="G198">
        <v>4</v>
      </c>
      <c r="H198" s="3">
        <v>26870</v>
      </c>
      <c r="I198" s="3">
        <v>107980</v>
      </c>
      <c r="J198" t="s">
        <v>29</v>
      </c>
      <c r="K198" t="s">
        <v>33</v>
      </c>
    </row>
    <row r="199" spans="1:11" x14ac:dyDescent="0.3">
      <c r="A199" t="s">
        <v>262</v>
      </c>
      <c r="B199" s="2">
        <v>46001</v>
      </c>
      <c r="C199" t="s">
        <v>45</v>
      </c>
      <c r="D199" t="s">
        <v>53</v>
      </c>
      <c r="E199" t="s">
        <v>27</v>
      </c>
      <c r="F199" t="s">
        <v>28</v>
      </c>
      <c r="G199">
        <v>4</v>
      </c>
      <c r="H199" s="3">
        <v>50080</v>
      </c>
      <c r="I199" s="3">
        <v>200320</v>
      </c>
      <c r="J199" t="s">
        <v>29</v>
      </c>
      <c r="K199" t="s">
        <v>56</v>
      </c>
    </row>
    <row r="200" spans="1:11" x14ac:dyDescent="0.3">
      <c r="A200" t="s">
        <v>263</v>
      </c>
      <c r="B200" s="2">
        <v>45752</v>
      </c>
      <c r="C200" t="s">
        <v>69</v>
      </c>
      <c r="D200" t="s">
        <v>20</v>
      </c>
      <c r="E200" t="s">
        <v>27</v>
      </c>
      <c r="F200" t="s">
        <v>28</v>
      </c>
      <c r="G200">
        <v>1</v>
      </c>
      <c r="H200" s="3">
        <v>51110</v>
      </c>
      <c r="I200" s="3">
        <v>51110</v>
      </c>
      <c r="J200" t="s">
        <v>16</v>
      </c>
      <c r="K200" t="s">
        <v>50</v>
      </c>
    </row>
    <row r="201" spans="1:11" x14ac:dyDescent="0.3">
      <c r="A201" t="s">
        <v>264</v>
      </c>
      <c r="B201" s="2">
        <v>45924</v>
      </c>
      <c r="C201" t="s">
        <v>101</v>
      </c>
      <c r="D201" t="s">
        <v>20</v>
      </c>
      <c r="E201" t="s">
        <v>98</v>
      </c>
      <c r="F201" t="s">
        <v>15</v>
      </c>
      <c r="G201">
        <v>8</v>
      </c>
      <c r="H201" s="3">
        <v>2340</v>
      </c>
      <c r="I201" s="3">
        <v>18720</v>
      </c>
      <c r="J201" t="s">
        <v>29</v>
      </c>
      <c r="K201" t="s">
        <v>56</v>
      </c>
    </row>
    <row r="202" spans="1:11" x14ac:dyDescent="0.3">
      <c r="A202" t="s">
        <v>265</v>
      </c>
      <c r="B202" s="2">
        <v>45967</v>
      </c>
      <c r="C202" t="s">
        <v>66</v>
      </c>
      <c r="D202" t="s">
        <v>26</v>
      </c>
      <c r="E202" t="s">
        <v>27</v>
      </c>
      <c r="F202" t="s">
        <v>28</v>
      </c>
      <c r="G202">
        <v>3</v>
      </c>
      <c r="H202" s="3">
        <v>47990</v>
      </c>
      <c r="I202" s="3">
        <v>143970</v>
      </c>
      <c r="J202" t="s">
        <v>22</v>
      </c>
      <c r="K202" t="s">
        <v>37</v>
      </c>
    </row>
    <row r="203" spans="1:11" x14ac:dyDescent="0.3">
      <c r="A203" t="s">
        <v>266</v>
      </c>
      <c r="B203" s="2">
        <v>45734</v>
      </c>
      <c r="C203" t="s">
        <v>66</v>
      </c>
      <c r="D203" t="s">
        <v>13</v>
      </c>
      <c r="E203" t="s">
        <v>14</v>
      </c>
      <c r="F203" t="s">
        <v>15</v>
      </c>
      <c r="G203">
        <v>3</v>
      </c>
      <c r="H203" s="3">
        <v>1680</v>
      </c>
      <c r="I203" s="3">
        <v>5040</v>
      </c>
      <c r="J203" t="s">
        <v>22</v>
      </c>
      <c r="K203" t="s">
        <v>37</v>
      </c>
    </row>
    <row r="204" spans="1:11" x14ac:dyDescent="0.3">
      <c r="A204" t="s">
        <v>267</v>
      </c>
      <c r="B204" s="2">
        <v>45800</v>
      </c>
      <c r="C204" t="s">
        <v>19</v>
      </c>
      <c r="D204" t="s">
        <v>13</v>
      </c>
      <c r="E204" t="s">
        <v>39</v>
      </c>
      <c r="F204" t="s">
        <v>15</v>
      </c>
      <c r="G204">
        <v>2</v>
      </c>
      <c r="H204" s="3">
        <v>3300</v>
      </c>
      <c r="I204" s="3">
        <v>6600</v>
      </c>
      <c r="J204" t="s">
        <v>16</v>
      </c>
      <c r="K204" t="s">
        <v>33</v>
      </c>
    </row>
    <row r="205" spans="1:11" x14ac:dyDescent="0.3">
      <c r="A205" t="s">
        <v>268</v>
      </c>
      <c r="B205" s="2">
        <v>45666</v>
      </c>
      <c r="C205" t="s">
        <v>69</v>
      </c>
      <c r="D205" t="s">
        <v>26</v>
      </c>
      <c r="E205" t="s">
        <v>27</v>
      </c>
      <c r="F205" t="s">
        <v>28</v>
      </c>
      <c r="G205">
        <v>4</v>
      </c>
      <c r="H205" s="3">
        <v>53720</v>
      </c>
      <c r="I205" s="3">
        <v>214880</v>
      </c>
      <c r="J205" t="s">
        <v>16</v>
      </c>
      <c r="K205" t="s">
        <v>56</v>
      </c>
    </row>
    <row r="206" spans="1:11" x14ac:dyDescent="0.3">
      <c r="A206" t="s">
        <v>269</v>
      </c>
      <c r="B206" s="2">
        <v>45975</v>
      </c>
      <c r="C206" t="s">
        <v>66</v>
      </c>
      <c r="D206" t="s">
        <v>13</v>
      </c>
      <c r="E206" t="s">
        <v>98</v>
      </c>
      <c r="F206" t="s">
        <v>15</v>
      </c>
      <c r="G206">
        <v>6</v>
      </c>
      <c r="H206" s="3">
        <v>2280</v>
      </c>
      <c r="I206" s="3">
        <v>13680</v>
      </c>
      <c r="J206" t="s">
        <v>16</v>
      </c>
      <c r="K206" t="s">
        <v>17</v>
      </c>
    </row>
    <row r="207" spans="1:11" x14ac:dyDescent="0.3">
      <c r="A207" t="s">
        <v>270</v>
      </c>
      <c r="B207" s="2">
        <v>45971</v>
      </c>
      <c r="C207" t="s">
        <v>85</v>
      </c>
      <c r="D207" t="s">
        <v>53</v>
      </c>
      <c r="E207" t="s">
        <v>35</v>
      </c>
      <c r="F207" t="s">
        <v>36</v>
      </c>
      <c r="G207">
        <v>4</v>
      </c>
      <c r="H207" s="3">
        <v>12610</v>
      </c>
      <c r="I207" s="3">
        <v>50440</v>
      </c>
      <c r="J207" t="s">
        <v>29</v>
      </c>
      <c r="K207" t="s">
        <v>33</v>
      </c>
    </row>
    <row r="208" spans="1:11" x14ac:dyDescent="0.3">
      <c r="A208" t="s">
        <v>271</v>
      </c>
      <c r="B208" s="2">
        <v>45744</v>
      </c>
      <c r="C208" t="s">
        <v>25</v>
      </c>
      <c r="D208" t="s">
        <v>26</v>
      </c>
      <c r="E208" t="s">
        <v>98</v>
      </c>
      <c r="F208" t="s">
        <v>15</v>
      </c>
      <c r="G208">
        <v>1</v>
      </c>
      <c r="H208" s="3">
        <v>2050</v>
      </c>
      <c r="I208" s="3">
        <v>2050</v>
      </c>
      <c r="J208" t="s">
        <v>29</v>
      </c>
      <c r="K208" t="s">
        <v>50</v>
      </c>
    </row>
    <row r="209" spans="1:11" x14ac:dyDescent="0.3">
      <c r="A209" t="s">
        <v>272</v>
      </c>
      <c r="B209" s="2">
        <v>45830</v>
      </c>
      <c r="C209" t="s">
        <v>45</v>
      </c>
      <c r="D209" t="s">
        <v>26</v>
      </c>
      <c r="E209" t="s">
        <v>32</v>
      </c>
      <c r="F209" t="s">
        <v>28</v>
      </c>
      <c r="G209">
        <v>2</v>
      </c>
      <c r="H209" s="3">
        <v>27870</v>
      </c>
      <c r="I209" s="3">
        <v>55740</v>
      </c>
      <c r="J209" t="s">
        <v>16</v>
      </c>
      <c r="K209" t="s">
        <v>50</v>
      </c>
    </row>
    <row r="210" spans="1:11" x14ac:dyDescent="0.3">
      <c r="A210" t="s">
        <v>273</v>
      </c>
      <c r="B210" s="2">
        <v>45868</v>
      </c>
      <c r="C210" t="s">
        <v>75</v>
      </c>
      <c r="D210" t="s">
        <v>20</v>
      </c>
      <c r="E210" t="s">
        <v>32</v>
      </c>
      <c r="F210" t="s">
        <v>28</v>
      </c>
      <c r="G210">
        <v>3</v>
      </c>
      <c r="H210" s="3">
        <v>28250</v>
      </c>
      <c r="I210" s="3">
        <v>84750</v>
      </c>
      <c r="J210" t="s">
        <v>29</v>
      </c>
      <c r="K210" t="s">
        <v>17</v>
      </c>
    </row>
    <row r="211" spans="1:11" x14ac:dyDescent="0.3">
      <c r="A211" t="s">
        <v>274</v>
      </c>
      <c r="B211" s="2">
        <v>45750</v>
      </c>
      <c r="C211" t="s">
        <v>31</v>
      </c>
      <c r="D211" t="s">
        <v>26</v>
      </c>
      <c r="E211" t="s">
        <v>32</v>
      </c>
      <c r="F211" t="s">
        <v>28</v>
      </c>
      <c r="G211">
        <v>2</v>
      </c>
      <c r="H211" s="3">
        <v>28810</v>
      </c>
      <c r="I211" s="3">
        <v>57620</v>
      </c>
      <c r="J211" t="s">
        <v>16</v>
      </c>
      <c r="K211" t="s">
        <v>33</v>
      </c>
    </row>
    <row r="212" spans="1:11" x14ac:dyDescent="0.3">
      <c r="A212" t="s">
        <v>275</v>
      </c>
      <c r="B212" s="2">
        <v>45681</v>
      </c>
      <c r="C212" t="s">
        <v>66</v>
      </c>
      <c r="D212" t="s">
        <v>26</v>
      </c>
      <c r="E212" t="s">
        <v>64</v>
      </c>
      <c r="F212" t="s">
        <v>28</v>
      </c>
      <c r="G212">
        <v>10</v>
      </c>
      <c r="H212" s="3">
        <v>14300</v>
      </c>
      <c r="I212" s="3">
        <v>143000</v>
      </c>
      <c r="J212" t="s">
        <v>22</v>
      </c>
      <c r="K212" t="s">
        <v>33</v>
      </c>
    </row>
    <row r="213" spans="1:11" x14ac:dyDescent="0.3">
      <c r="A213" t="s">
        <v>276</v>
      </c>
      <c r="B213" s="2">
        <v>45762</v>
      </c>
      <c r="C213" t="s">
        <v>120</v>
      </c>
      <c r="D213" t="s">
        <v>13</v>
      </c>
      <c r="E213" t="s">
        <v>35</v>
      </c>
      <c r="F213" t="s">
        <v>36</v>
      </c>
      <c r="G213">
        <v>3</v>
      </c>
      <c r="H213" s="3">
        <v>12530</v>
      </c>
      <c r="I213" s="3">
        <v>37590</v>
      </c>
      <c r="J213" t="s">
        <v>29</v>
      </c>
      <c r="K213" t="s">
        <v>37</v>
      </c>
    </row>
    <row r="214" spans="1:11" x14ac:dyDescent="0.3">
      <c r="A214" t="s">
        <v>277</v>
      </c>
      <c r="B214" s="2">
        <v>45919</v>
      </c>
      <c r="C214" t="s">
        <v>12</v>
      </c>
      <c r="D214" t="s">
        <v>13</v>
      </c>
      <c r="E214" t="s">
        <v>35</v>
      </c>
      <c r="F214" t="s">
        <v>36</v>
      </c>
      <c r="G214">
        <v>6</v>
      </c>
      <c r="H214" s="3">
        <v>13300</v>
      </c>
      <c r="I214" s="3">
        <v>79800</v>
      </c>
      <c r="J214" t="s">
        <v>16</v>
      </c>
      <c r="K214" t="s">
        <v>17</v>
      </c>
    </row>
    <row r="215" spans="1:11" x14ac:dyDescent="0.3">
      <c r="A215" t="s">
        <v>278</v>
      </c>
      <c r="B215" s="2">
        <v>45675</v>
      </c>
      <c r="C215" t="s">
        <v>45</v>
      </c>
      <c r="D215" t="s">
        <v>26</v>
      </c>
      <c r="E215" t="s">
        <v>14</v>
      </c>
      <c r="F215" t="s">
        <v>15</v>
      </c>
      <c r="G215">
        <v>2</v>
      </c>
      <c r="H215" s="3">
        <v>1770</v>
      </c>
      <c r="I215" s="3">
        <v>3540</v>
      </c>
      <c r="J215" t="s">
        <v>16</v>
      </c>
      <c r="K215" t="s">
        <v>56</v>
      </c>
    </row>
    <row r="216" spans="1:11" x14ac:dyDescent="0.3">
      <c r="A216" t="s">
        <v>279</v>
      </c>
      <c r="B216" s="2">
        <v>45744</v>
      </c>
      <c r="C216" t="s">
        <v>103</v>
      </c>
      <c r="D216" t="s">
        <v>20</v>
      </c>
      <c r="E216" t="s">
        <v>27</v>
      </c>
      <c r="F216" t="s">
        <v>28</v>
      </c>
      <c r="G216">
        <v>4</v>
      </c>
      <c r="H216" s="3">
        <v>55400</v>
      </c>
      <c r="I216" s="3">
        <v>221600</v>
      </c>
      <c r="J216" t="s">
        <v>22</v>
      </c>
      <c r="K216" t="s">
        <v>23</v>
      </c>
    </row>
    <row r="217" spans="1:11" x14ac:dyDescent="0.3">
      <c r="A217" t="s">
        <v>280</v>
      </c>
      <c r="B217" s="2">
        <v>45698</v>
      </c>
      <c r="C217" t="s">
        <v>31</v>
      </c>
      <c r="D217" t="s">
        <v>13</v>
      </c>
      <c r="E217" t="s">
        <v>35</v>
      </c>
      <c r="F217" t="s">
        <v>36</v>
      </c>
      <c r="G217">
        <v>3</v>
      </c>
      <c r="H217" s="3">
        <v>11640</v>
      </c>
      <c r="I217" s="3">
        <v>34920</v>
      </c>
      <c r="J217" t="s">
        <v>16</v>
      </c>
      <c r="K217" t="s">
        <v>56</v>
      </c>
    </row>
    <row r="218" spans="1:11" x14ac:dyDescent="0.3">
      <c r="A218" t="s">
        <v>281</v>
      </c>
      <c r="B218" s="2">
        <v>46002</v>
      </c>
      <c r="C218" t="s">
        <v>19</v>
      </c>
      <c r="D218" t="s">
        <v>53</v>
      </c>
      <c r="E218" t="s">
        <v>98</v>
      </c>
      <c r="F218" t="s">
        <v>15</v>
      </c>
      <c r="G218">
        <v>1</v>
      </c>
      <c r="H218" s="3">
        <v>2250</v>
      </c>
      <c r="I218" s="3">
        <v>2250</v>
      </c>
      <c r="J218" t="s">
        <v>29</v>
      </c>
      <c r="K218" t="s">
        <v>50</v>
      </c>
    </row>
    <row r="219" spans="1:11" x14ac:dyDescent="0.3">
      <c r="A219" t="s">
        <v>282</v>
      </c>
      <c r="B219" s="2">
        <v>45958</v>
      </c>
      <c r="C219" t="s">
        <v>31</v>
      </c>
      <c r="D219" t="s">
        <v>53</v>
      </c>
      <c r="E219" t="s">
        <v>14</v>
      </c>
      <c r="F219" t="s">
        <v>15</v>
      </c>
      <c r="G219">
        <v>5</v>
      </c>
      <c r="H219" s="3">
        <v>1690</v>
      </c>
      <c r="I219" s="3">
        <v>8450</v>
      </c>
      <c r="J219" t="s">
        <v>16</v>
      </c>
      <c r="K219" t="s">
        <v>37</v>
      </c>
    </row>
    <row r="220" spans="1:11" x14ac:dyDescent="0.3">
      <c r="A220" t="s">
        <v>283</v>
      </c>
      <c r="B220" s="2">
        <v>45923</v>
      </c>
      <c r="C220" t="s">
        <v>25</v>
      </c>
      <c r="D220" t="s">
        <v>13</v>
      </c>
      <c r="E220" t="s">
        <v>27</v>
      </c>
      <c r="F220" t="s">
        <v>28</v>
      </c>
      <c r="G220">
        <v>1</v>
      </c>
      <c r="H220" s="3">
        <v>52160</v>
      </c>
      <c r="I220" s="3">
        <v>52160</v>
      </c>
      <c r="J220" t="s">
        <v>29</v>
      </c>
      <c r="K220" t="s">
        <v>56</v>
      </c>
    </row>
    <row r="221" spans="1:11" x14ac:dyDescent="0.3">
      <c r="A221" t="s">
        <v>284</v>
      </c>
      <c r="B221" s="2">
        <v>45970</v>
      </c>
      <c r="C221" t="s">
        <v>66</v>
      </c>
      <c r="D221" t="s">
        <v>20</v>
      </c>
      <c r="E221" t="s">
        <v>21</v>
      </c>
      <c r="F221" t="s">
        <v>15</v>
      </c>
      <c r="G221">
        <v>4</v>
      </c>
      <c r="H221" s="3">
        <v>960</v>
      </c>
      <c r="I221" s="3">
        <v>3840</v>
      </c>
      <c r="J221" t="s">
        <v>29</v>
      </c>
      <c r="K221" t="s">
        <v>17</v>
      </c>
    </row>
    <row r="222" spans="1:11" x14ac:dyDescent="0.3">
      <c r="A222" t="s">
        <v>285</v>
      </c>
      <c r="B222" s="2">
        <v>45777</v>
      </c>
      <c r="C222" t="s">
        <v>25</v>
      </c>
      <c r="D222" t="s">
        <v>20</v>
      </c>
      <c r="E222" t="s">
        <v>98</v>
      </c>
      <c r="F222" t="s">
        <v>15</v>
      </c>
      <c r="G222">
        <v>4</v>
      </c>
      <c r="H222" s="3">
        <v>2190</v>
      </c>
      <c r="I222" s="3">
        <v>8760</v>
      </c>
      <c r="J222" t="s">
        <v>16</v>
      </c>
      <c r="K222" t="s">
        <v>23</v>
      </c>
    </row>
    <row r="223" spans="1:11" x14ac:dyDescent="0.3">
      <c r="A223" t="s">
        <v>286</v>
      </c>
      <c r="B223" s="2">
        <v>45787</v>
      </c>
      <c r="C223" t="s">
        <v>93</v>
      </c>
      <c r="D223" t="s">
        <v>53</v>
      </c>
      <c r="E223" t="s">
        <v>64</v>
      </c>
      <c r="F223" t="s">
        <v>28</v>
      </c>
      <c r="G223">
        <v>1</v>
      </c>
      <c r="H223" s="3">
        <v>13970</v>
      </c>
      <c r="I223" s="3">
        <v>13970</v>
      </c>
      <c r="J223" t="s">
        <v>29</v>
      </c>
      <c r="K223" t="s">
        <v>33</v>
      </c>
    </row>
    <row r="224" spans="1:11" x14ac:dyDescent="0.3">
      <c r="A224" t="s">
        <v>287</v>
      </c>
      <c r="B224" s="2">
        <v>45902</v>
      </c>
      <c r="C224" t="s">
        <v>75</v>
      </c>
      <c r="D224" t="s">
        <v>26</v>
      </c>
      <c r="E224" t="s">
        <v>27</v>
      </c>
      <c r="F224" t="s">
        <v>28</v>
      </c>
      <c r="G224">
        <v>4</v>
      </c>
      <c r="H224" s="3">
        <v>49710</v>
      </c>
      <c r="I224" s="3">
        <v>198840</v>
      </c>
      <c r="J224" t="s">
        <v>29</v>
      </c>
      <c r="K224" t="s">
        <v>17</v>
      </c>
    </row>
    <row r="225" spans="1:11" x14ac:dyDescent="0.3">
      <c r="A225" t="s">
        <v>288</v>
      </c>
      <c r="B225" s="2">
        <v>45873</v>
      </c>
      <c r="C225" t="s">
        <v>52</v>
      </c>
      <c r="D225" t="s">
        <v>13</v>
      </c>
      <c r="E225" t="s">
        <v>27</v>
      </c>
      <c r="F225" t="s">
        <v>28</v>
      </c>
      <c r="G225">
        <v>1</v>
      </c>
      <c r="H225" s="3">
        <v>56050</v>
      </c>
      <c r="I225" s="3">
        <v>56050</v>
      </c>
      <c r="J225" t="s">
        <v>22</v>
      </c>
      <c r="K225" t="s">
        <v>56</v>
      </c>
    </row>
    <row r="226" spans="1:11" x14ac:dyDescent="0.3">
      <c r="A226" t="s">
        <v>289</v>
      </c>
      <c r="B226" s="2">
        <v>45835</v>
      </c>
      <c r="C226" t="s">
        <v>25</v>
      </c>
      <c r="D226" t="s">
        <v>13</v>
      </c>
      <c r="E226" t="s">
        <v>32</v>
      </c>
      <c r="F226" t="s">
        <v>28</v>
      </c>
      <c r="G226">
        <v>6</v>
      </c>
      <c r="H226" s="3">
        <v>27800</v>
      </c>
      <c r="I226" s="3">
        <v>166800</v>
      </c>
      <c r="J226" t="s">
        <v>16</v>
      </c>
      <c r="K226" t="s">
        <v>23</v>
      </c>
    </row>
    <row r="227" spans="1:11" x14ac:dyDescent="0.3">
      <c r="A227" t="s">
        <v>290</v>
      </c>
      <c r="B227" s="2">
        <v>45665</v>
      </c>
      <c r="C227" t="s">
        <v>43</v>
      </c>
      <c r="D227" t="s">
        <v>26</v>
      </c>
      <c r="E227" t="s">
        <v>14</v>
      </c>
      <c r="F227" t="s">
        <v>15</v>
      </c>
      <c r="G227">
        <v>4</v>
      </c>
      <c r="H227" s="3">
        <v>1710</v>
      </c>
      <c r="I227" s="3">
        <v>6840</v>
      </c>
      <c r="J227" t="s">
        <v>29</v>
      </c>
      <c r="K227" t="s">
        <v>50</v>
      </c>
    </row>
    <row r="228" spans="1:11" x14ac:dyDescent="0.3">
      <c r="A228" t="s">
        <v>291</v>
      </c>
      <c r="B228" s="2">
        <v>45947</v>
      </c>
      <c r="C228" t="s">
        <v>60</v>
      </c>
      <c r="D228" t="s">
        <v>53</v>
      </c>
      <c r="E228" t="s">
        <v>21</v>
      </c>
      <c r="F228" t="s">
        <v>15</v>
      </c>
      <c r="G228">
        <v>6</v>
      </c>
      <c r="H228" s="3">
        <v>850</v>
      </c>
      <c r="I228" s="3">
        <v>5100</v>
      </c>
      <c r="J228" t="s">
        <v>16</v>
      </c>
      <c r="K228" t="s">
        <v>37</v>
      </c>
    </row>
    <row r="229" spans="1:11" x14ac:dyDescent="0.3">
      <c r="A229" t="s">
        <v>292</v>
      </c>
      <c r="B229" s="2">
        <v>45683</v>
      </c>
      <c r="C229" t="s">
        <v>45</v>
      </c>
      <c r="D229" t="s">
        <v>53</v>
      </c>
      <c r="E229" t="s">
        <v>14</v>
      </c>
      <c r="F229" t="s">
        <v>15</v>
      </c>
      <c r="G229">
        <v>1</v>
      </c>
      <c r="H229" s="3">
        <v>1730</v>
      </c>
      <c r="I229" s="3">
        <v>1730</v>
      </c>
      <c r="J229" t="s">
        <v>29</v>
      </c>
      <c r="K229" t="s">
        <v>33</v>
      </c>
    </row>
    <row r="230" spans="1:11" x14ac:dyDescent="0.3">
      <c r="A230" t="s">
        <v>293</v>
      </c>
      <c r="B230" s="2">
        <v>45658</v>
      </c>
      <c r="C230" t="s">
        <v>101</v>
      </c>
      <c r="D230" t="s">
        <v>53</v>
      </c>
      <c r="E230" t="s">
        <v>27</v>
      </c>
      <c r="F230" t="s">
        <v>28</v>
      </c>
      <c r="G230">
        <v>5</v>
      </c>
      <c r="H230" s="3">
        <v>55480</v>
      </c>
      <c r="I230" s="3">
        <v>277400</v>
      </c>
      <c r="J230" t="s">
        <v>22</v>
      </c>
      <c r="K230" t="s">
        <v>50</v>
      </c>
    </row>
    <row r="231" spans="1:11" x14ac:dyDescent="0.3">
      <c r="A231" t="s">
        <v>294</v>
      </c>
      <c r="B231" s="2">
        <v>45849</v>
      </c>
      <c r="C231" t="s">
        <v>69</v>
      </c>
      <c r="D231" t="s">
        <v>53</v>
      </c>
      <c r="E231" t="s">
        <v>98</v>
      </c>
      <c r="F231" t="s">
        <v>15</v>
      </c>
      <c r="G231">
        <v>3</v>
      </c>
      <c r="H231" s="3">
        <v>2150</v>
      </c>
      <c r="I231" s="3">
        <v>6450</v>
      </c>
      <c r="J231" t="s">
        <v>29</v>
      </c>
      <c r="K231" t="s">
        <v>56</v>
      </c>
    </row>
    <row r="232" spans="1:11" x14ac:dyDescent="0.3">
      <c r="A232" t="s">
        <v>295</v>
      </c>
      <c r="B232" s="2">
        <v>45734</v>
      </c>
      <c r="C232" t="s">
        <v>93</v>
      </c>
      <c r="D232" t="s">
        <v>296</v>
      </c>
      <c r="E232" t="s">
        <v>21</v>
      </c>
      <c r="F232" t="s">
        <v>15</v>
      </c>
      <c r="G232">
        <v>6</v>
      </c>
      <c r="H232" s="3">
        <v>940</v>
      </c>
      <c r="I232" s="3">
        <v>5640</v>
      </c>
      <c r="J232" t="s">
        <v>22</v>
      </c>
      <c r="K232" t="s">
        <v>50</v>
      </c>
    </row>
    <row r="233" spans="1:11" x14ac:dyDescent="0.3">
      <c r="A233" t="s">
        <v>297</v>
      </c>
      <c r="B233" s="2">
        <v>45739</v>
      </c>
      <c r="C233" t="s">
        <v>49</v>
      </c>
      <c r="D233" t="s">
        <v>26</v>
      </c>
      <c r="E233" t="s">
        <v>55</v>
      </c>
      <c r="F233" t="s">
        <v>47</v>
      </c>
      <c r="G233">
        <v>8</v>
      </c>
      <c r="H233" s="3">
        <v>8420</v>
      </c>
      <c r="I233" s="3">
        <v>67360</v>
      </c>
      <c r="J233" t="s">
        <v>16</v>
      </c>
      <c r="K233" t="s">
        <v>17</v>
      </c>
    </row>
    <row r="234" spans="1:11" x14ac:dyDescent="0.3">
      <c r="A234" t="s">
        <v>298</v>
      </c>
      <c r="B234" s="2">
        <v>45746</v>
      </c>
      <c r="C234" t="s">
        <v>31</v>
      </c>
      <c r="D234" t="s">
        <v>26</v>
      </c>
      <c r="E234" t="s">
        <v>46</v>
      </c>
      <c r="F234" t="s">
        <v>47</v>
      </c>
      <c r="G234">
        <v>2</v>
      </c>
      <c r="H234" s="3">
        <v>11610</v>
      </c>
      <c r="I234" s="3">
        <v>23220</v>
      </c>
      <c r="J234" t="s">
        <v>22</v>
      </c>
      <c r="K234" t="s">
        <v>50</v>
      </c>
    </row>
    <row r="235" spans="1:11" x14ac:dyDescent="0.3">
      <c r="A235" t="s">
        <v>299</v>
      </c>
      <c r="B235" s="2">
        <v>45881</v>
      </c>
      <c r="C235" t="s">
        <v>41</v>
      </c>
      <c r="D235" t="s">
        <v>53</v>
      </c>
      <c r="E235" t="s">
        <v>21</v>
      </c>
      <c r="F235" t="s">
        <v>15</v>
      </c>
      <c r="G235">
        <v>3</v>
      </c>
      <c r="H235" s="3">
        <v>910</v>
      </c>
      <c r="I235" s="3">
        <v>2730</v>
      </c>
      <c r="J235" t="s">
        <v>22</v>
      </c>
      <c r="K235" t="s">
        <v>37</v>
      </c>
    </row>
    <row r="236" spans="1:11" x14ac:dyDescent="0.3">
      <c r="A236" t="s">
        <v>300</v>
      </c>
      <c r="B236" s="2">
        <v>45922</v>
      </c>
      <c r="C236" t="s">
        <v>85</v>
      </c>
      <c r="D236" t="s">
        <v>26</v>
      </c>
      <c r="E236" t="s">
        <v>32</v>
      </c>
      <c r="F236" t="s">
        <v>28</v>
      </c>
      <c r="G236">
        <v>1</v>
      </c>
      <c r="H236" s="3">
        <v>28640</v>
      </c>
      <c r="I236" s="3">
        <v>28640</v>
      </c>
      <c r="J236" t="s">
        <v>22</v>
      </c>
      <c r="K236" t="s">
        <v>37</v>
      </c>
    </row>
    <row r="237" spans="1:11" x14ac:dyDescent="0.3">
      <c r="A237" t="s">
        <v>301</v>
      </c>
      <c r="B237" s="2">
        <v>45669</v>
      </c>
      <c r="C237" t="s">
        <v>75</v>
      </c>
      <c r="D237" t="s">
        <v>13</v>
      </c>
      <c r="E237" t="s">
        <v>21</v>
      </c>
      <c r="F237" t="s">
        <v>15</v>
      </c>
      <c r="G237">
        <v>1</v>
      </c>
      <c r="H237" s="3">
        <v>880</v>
      </c>
      <c r="I237" s="3">
        <v>880</v>
      </c>
      <c r="J237" t="s">
        <v>29</v>
      </c>
      <c r="K237" t="s">
        <v>33</v>
      </c>
    </row>
    <row r="238" spans="1:11" x14ac:dyDescent="0.3">
      <c r="A238" t="s">
        <v>302</v>
      </c>
      <c r="B238" s="2">
        <v>45959</v>
      </c>
      <c r="C238" t="s">
        <v>43</v>
      </c>
      <c r="D238" t="s">
        <v>20</v>
      </c>
      <c r="E238" t="s">
        <v>21</v>
      </c>
      <c r="F238" t="s">
        <v>15</v>
      </c>
      <c r="G238">
        <v>2</v>
      </c>
      <c r="H238" s="3">
        <v>910</v>
      </c>
      <c r="I238" s="3">
        <v>1820</v>
      </c>
      <c r="J238" t="s">
        <v>16</v>
      </c>
      <c r="K238" t="s">
        <v>17</v>
      </c>
    </row>
    <row r="239" spans="1:11" x14ac:dyDescent="0.3">
      <c r="A239" t="s">
        <v>303</v>
      </c>
      <c r="B239" s="2">
        <v>45960</v>
      </c>
      <c r="C239" t="s">
        <v>31</v>
      </c>
      <c r="D239" t="s">
        <v>26</v>
      </c>
      <c r="E239" t="s">
        <v>27</v>
      </c>
      <c r="F239" t="s">
        <v>28</v>
      </c>
      <c r="G239">
        <v>2</v>
      </c>
      <c r="H239" s="3">
        <v>47900</v>
      </c>
      <c r="I239" s="3">
        <v>95800</v>
      </c>
      <c r="J239" t="s">
        <v>16</v>
      </c>
      <c r="K239" t="s">
        <v>17</v>
      </c>
    </row>
    <row r="240" spans="1:11" x14ac:dyDescent="0.3">
      <c r="A240" t="s">
        <v>304</v>
      </c>
      <c r="B240" s="2">
        <v>45947</v>
      </c>
      <c r="C240" t="s">
        <v>89</v>
      </c>
      <c r="D240" t="s">
        <v>26</v>
      </c>
      <c r="E240" t="s">
        <v>27</v>
      </c>
      <c r="F240" t="s">
        <v>28</v>
      </c>
      <c r="G240">
        <v>8</v>
      </c>
      <c r="H240" s="3">
        <v>50770</v>
      </c>
      <c r="I240" s="3">
        <v>406160</v>
      </c>
      <c r="J240" t="s">
        <v>29</v>
      </c>
      <c r="K240" t="s">
        <v>33</v>
      </c>
    </row>
    <row r="241" spans="1:11" x14ac:dyDescent="0.3">
      <c r="A241" t="s">
        <v>305</v>
      </c>
      <c r="B241" s="2">
        <v>45793</v>
      </c>
      <c r="C241" t="s">
        <v>80</v>
      </c>
      <c r="D241" t="s">
        <v>13</v>
      </c>
      <c r="E241" t="s">
        <v>98</v>
      </c>
      <c r="F241" t="s">
        <v>15</v>
      </c>
      <c r="G241">
        <v>8</v>
      </c>
      <c r="H241" s="3">
        <v>2210</v>
      </c>
      <c r="I241" s="3">
        <v>17680</v>
      </c>
      <c r="J241" t="s">
        <v>22</v>
      </c>
      <c r="K241" t="s">
        <v>37</v>
      </c>
    </row>
    <row r="242" spans="1:11" x14ac:dyDescent="0.3">
      <c r="A242" t="s">
        <v>306</v>
      </c>
      <c r="B242" s="2">
        <v>46007</v>
      </c>
      <c r="C242" t="s">
        <v>52</v>
      </c>
      <c r="D242" t="s">
        <v>53</v>
      </c>
      <c r="E242" t="s">
        <v>21</v>
      </c>
      <c r="F242" t="s">
        <v>15</v>
      </c>
      <c r="G242">
        <v>10</v>
      </c>
      <c r="H242" s="3">
        <v>950</v>
      </c>
      <c r="I242" s="3">
        <v>9500</v>
      </c>
      <c r="J242" t="s">
        <v>16</v>
      </c>
      <c r="K242" t="s">
        <v>33</v>
      </c>
    </row>
    <row r="243" spans="1:11" x14ac:dyDescent="0.3">
      <c r="A243" t="s">
        <v>307</v>
      </c>
      <c r="B243" s="2">
        <v>45969</v>
      </c>
      <c r="C243" t="s">
        <v>41</v>
      </c>
      <c r="D243" t="s">
        <v>13</v>
      </c>
      <c r="E243" t="s">
        <v>64</v>
      </c>
      <c r="F243" t="s">
        <v>28</v>
      </c>
      <c r="G243">
        <v>3</v>
      </c>
      <c r="H243" s="3">
        <v>14980</v>
      </c>
      <c r="I243" s="3">
        <v>44940</v>
      </c>
      <c r="J243" t="s">
        <v>29</v>
      </c>
      <c r="K243" t="s">
        <v>37</v>
      </c>
    </row>
    <row r="244" spans="1:11" x14ac:dyDescent="0.3">
      <c r="A244" t="s">
        <v>308</v>
      </c>
      <c r="B244" s="2">
        <v>45967</v>
      </c>
      <c r="C244" t="s">
        <v>60</v>
      </c>
      <c r="D244" t="s">
        <v>20</v>
      </c>
      <c r="E244" t="s">
        <v>39</v>
      </c>
      <c r="F244" t="s">
        <v>15</v>
      </c>
      <c r="G244">
        <v>3</v>
      </c>
      <c r="H244" s="3">
        <v>2990</v>
      </c>
      <c r="I244" s="3">
        <v>8970</v>
      </c>
      <c r="J244" t="s">
        <v>29</v>
      </c>
      <c r="K244" t="s">
        <v>37</v>
      </c>
    </row>
    <row r="245" spans="1:11" x14ac:dyDescent="0.3">
      <c r="A245" t="s">
        <v>309</v>
      </c>
      <c r="B245" s="2">
        <v>45934</v>
      </c>
      <c r="C245" t="s">
        <v>93</v>
      </c>
      <c r="D245" t="s">
        <v>13</v>
      </c>
      <c r="E245" t="s">
        <v>27</v>
      </c>
      <c r="F245" t="s">
        <v>28</v>
      </c>
      <c r="G245">
        <v>1</v>
      </c>
      <c r="H245" s="3">
        <v>53150</v>
      </c>
      <c r="I245" s="3">
        <v>53150</v>
      </c>
      <c r="J245" t="s">
        <v>29</v>
      </c>
      <c r="K245" t="s">
        <v>37</v>
      </c>
    </row>
    <row r="246" spans="1:11" x14ac:dyDescent="0.3">
      <c r="A246" t="s">
        <v>310</v>
      </c>
      <c r="B246" s="2">
        <v>45809</v>
      </c>
      <c r="C246" t="s">
        <v>80</v>
      </c>
      <c r="D246" t="s">
        <v>26</v>
      </c>
      <c r="E246" t="s">
        <v>64</v>
      </c>
      <c r="F246" t="s">
        <v>28</v>
      </c>
      <c r="G246">
        <v>2</v>
      </c>
      <c r="H246" s="3">
        <v>15440</v>
      </c>
      <c r="I246" s="3">
        <v>30880</v>
      </c>
      <c r="J246" t="s">
        <v>22</v>
      </c>
      <c r="K246" t="s">
        <v>17</v>
      </c>
    </row>
    <row r="247" spans="1:11" x14ac:dyDescent="0.3">
      <c r="A247" t="s">
        <v>311</v>
      </c>
      <c r="B247" s="2">
        <v>45717</v>
      </c>
      <c r="C247" t="s">
        <v>12</v>
      </c>
      <c r="D247" t="s">
        <v>13</v>
      </c>
      <c r="E247" t="s">
        <v>55</v>
      </c>
      <c r="F247" t="s">
        <v>47</v>
      </c>
      <c r="G247">
        <v>2</v>
      </c>
      <c r="H247" s="3">
        <v>8940</v>
      </c>
      <c r="I247" s="3">
        <v>17880</v>
      </c>
      <c r="J247" t="s">
        <v>29</v>
      </c>
      <c r="K247" t="s">
        <v>37</v>
      </c>
    </row>
    <row r="248" spans="1:11" x14ac:dyDescent="0.3">
      <c r="A248" t="s">
        <v>312</v>
      </c>
      <c r="B248" s="2">
        <v>45726</v>
      </c>
      <c r="C248" t="s">
        <v>31</v>
      </c>
      <c r="D248" t="s">
        <v>26</v>
      </c>
      <c r="E248" t="s">
        <v>55</v>
      </c>
      <c r="F248" t="s">
        <v>47</v>
      </c>
      <c r="G248">
        <v>1</v>
      </c>
      <c r="H248" s="3">
        <v>8400</v>
      </c>
      <c r="I248" s="3">
        <v>8400</v>
      </c>
      <c r="J248" t="s">
        <v>16</v>
      </c>
      <c r="K248" t="s">
        <v>33</v>
      </c>
    </row>
    <row r="249" spans="1:11" x14ac:dyDescent="0.3">
      <c r="A249" t="s">
        <v>313</v>
      </c>
      <c r="B249" s="2">
        <v>45950</v>
      </c>
      <c r="C249" t="s">
        <v>31</v>
      </c>
      <c r="D249" t="s">
        <v>53</v>
      </c>
      <c r="E249" t="s">
        <v>46</v>
      </c>
      <c r="F249" t="s">
        <v>47</v>
      </c>
      <c r="G249">
        <v>2</v>
      </c>
      <c r="H249" s="3">
        <v>11220</v>
      </c>
      <c r="I249" s="3">
        <v>22440</v>
      </c>
      <c r="J249" t="s">
        <v>16</v>
      </c>
      <c r="K249" t="s">
        <v>17</v>
      </c>
    </row>
    <row r="250" spans="1:11" x14ac:dyDescent="0.3">
      <c r="A250" t="s">
        <v>314</v>
      </c>
      <c r="B250" s="2">
        <v>45911</v>
      </c>
      <c r="C250" t="s">
        <v>19</v>
      </c>
      <c r="D250" t="s">
        <v>20</v>
      </c>
      <c r="E250" t="s">
        <v>64</v>
      </c>
      <c r="F250" t="s">
        <v>28</v>
      </c>
      <c r="G250">
        <v>2</v>
      </c>
      <c r="H250" s="3">
        <v>14720</v>
      </c>
      <c r="I250" s="3">
        <v>29440</v>
      </c>
      <c r="J250" t="s">
        <v>16</v>
      </c>
      <c r="K250" t="s">
        <v>50</v>
      </c>
    </row>
    <row r="251" spans="1:11" x14ac:dyDescent="0.3">
      <c r="A251" t="s">
        <v>315</v>
      </c>
      <c r="B251" s="2">
        <v>45898</v>
      </c>
      <c r="C251" t="s">
        <v>52</v>
      </c>
      <c r="D251" t="s">
        <v>53</v>
      </c>
      <c r="E251" t="s">
        <v>98</v>
      </c>
      <c r="F251" t="s">
        <v>15</v>
      </c>
      <c r="G251">
        <v>3</v>
      </c>
      <c r="H251" s="3">
        <v>2180</v>
      </c>
      <c r="I251" s="3">
        <v>6540</v>
      </c>
      <c r="J251" t="s">
        <v>22</v>
      </c>
      <c r="K251" t="s">
        <v>17</v>
      </c>
    </row>
    <row r="252" spans="1:11" x14ac:dyDescent="0.3">
      <c r="A252" t="s">
        <v>316</v>
      </c>
      <c r="B252" s="2">
        <v>45766</v>
      </c>
      <c r="C252" t="s">
        <v>89</v>
      </c>
      <c r="D252" t="s">
        <v>20</v>
      </c>
      <c r="E252" t="s">
        <v>32</v>
      </c>
      <c r="F252" t="s">
        <v>28</v>
      </c>
      <c r="G252">
        <v>2</v>
      </c>
      <c r="H252" s="3">
        <v>29820</v>
      </c>
      <c r="I252" s="3">
        <v>59640</v>
      </c>
      <c r="J252" t="s">
        <v>29</v>
      </c>
      <c r="K252" t="s">
        <v>56</v>
      </c>
    </row>
    <row r="253" spans="1:11" x14ac:dyDescent="0.3">
      <c r="A253" t="s">
        <v>317</v>
      </c>
      <c r="B253" s="2">
        <v>45727</v>
      </c>
      <c r="C253" t="s">
        <v>93</v>
      </c>
      <c r="D253" t="s">
        <v>53</v>
      </c>
      <c r="E253" t="s">
        <v>32</v>
      </c>
      <c r="F253" t="s">
        <v>28</v>
      </c>
      <c r="G253">
        <v>3</v>
      </c>
      <c r="H253" s="3">
        <v>27400</v>
      </c>
      <c r="I253" s="3">
        <v>82200</v>
      </c>
      <c r="J253" t="s">
        <v>29</v>
      </c>
      <c r="K253" t="s">
        <v>56</v>
      </c>
    </row>
    <row r="254" spans="1:11" x14ac:dyDescent="0.3">
      <c r="A254" t="s">
        <v>318</v>
      </c>
      <c r="B254" s="2">
        <v>45817</v>
      </c>
      <c r="C254" t="s">
        <v>45</v>
      </c>
      <c r="D254" t="s">
        <v>13</v>
      </c>
      <c r="E254" t="s">
        <v>55</v>
      </c>
      <c r="F254" t="s">
        <v>47</v>
      </c>
      <c r="G254">
        <v>4</v>
      </c>
      <c r="H254" s="3">
        <v>7920</v>
      </c>
      <c r="I254" s="3">
        <v>31680</v>
      </c>
      <c r="J254" t="s">
        <v>22</v>
      </c>
      <c r="K254" t="s">
        <v>17</v>
      </c>
    </row>
    <row r="255" spans="1:11" x14ac:dyDescent="0.3">
      <c r="A255" t="s">
        <v>319</v>
      </c>
      <c r="B255" s="2">
        <v>45983</v>
      </c>
      <c r="C255" t="s">
        <v>19</v>
      </c>
      <c r="D255" t="s">
        <v>53</v>
      </c>
      <c r="E255" t="s">
        <v>35</v>
      </c>
      <c r="F255" t="s">
        <v>36</v>
      </c>
      <c r="G255">
        <v>2</v>
      </c>
      <c r="H255" s="3">
        <v>12170</v>
      </c>
      <c r="I255" s="3">
        <v>24340</v>
      </c>
      <c r="J255" t="s">
        <v>22</v>
      </c>
      <c r="K255" t="s">
        <v>23</v>
      </c>
    </row>
    <row r="256" spans="1:11" x14ac:dyDescent="0.3">
      <c r="A256" t="s">
        <v>320</v>
      </c>
      <c r="B256" s="2">
        <v>45921</v>
      </c>
      <c r="C256" t="s">
        <v>25</v>
      </c>
      <c r="D256" t="s">
        <v>13</v>
      </c>
      <c r="E256" t="s">
        <v>35</v>
      </c>
      <c r="F256" t="s">
        <v>36</v>
      </c>
      <c r="G256">
        <v>5</v>
      </c>
      <c r="H256" s="3">
        <v>12430</v>
      </c>
      <c r="I256" s="3">
        <v>62150</v>
      </c>
      <c r="J256" t="s">
        <v>29</v>
      </c>
      <c r="K256" t="s">
        <v>50</v>
      </c>
    </row>
    <row r="257" spans="1:11" x14ac:dyDescent="0.3">
      <c r="A257" t="s">
        <v>321</v>
      </c>
      <c r="B257" s="2">
        <v>45763</v>
      </c>
      <c r="C257" t="s">
        <v>80</v>
      </c>
      <c r="D257" t="s">
        <v>20</v>
      </c>
      <c r="E257" t="s">
        <v>32</v>
      </c>
      <c r="F257" t="s">
        <v>28</v>
      </c>
      <c r="G257">
        <v>5</v>
      </c>
      <c r="H257" s="3">
        <v>26520</v>
      </c>
      <c r="I257" s="3">
        <v>132600</v>
      </c>
      <c r="J257" t="s">
        <v>29</v>
      </c>
      <c r="K257" t="s">
        <v>33</v>
      </c>
    </row>
    <row r="258" spans="1:11" x14ac:dyDescent="0.3">
      <c r="A258" t="s">
        <v>322</v>
      </c>
      <c r="B258" s="2">
        <v>45936</v>
      </c>
      <c r="C258" t="s">
        <v>101</v>
      </c>
      <c r="D258" t="s">
        <v>20</v>
      </c>
      <c r="E258" t="s">
        <v>39</v>
      </c>
      <c r="F258" t="s">
        <v>15</v>
      </c>
      <c r="G258">
        <v>3</v>
      </c>
      <c r="H258" s="3">
        <v>3140</v>
      </c>
      <c r="I258" s="3">
        <v>9420</v>
      </c>
      <c r="J258" t="s">
        <v>22</v>
      </c>
      <c r="K258" t="s">
        <v>50</v>
      </c>
    </row>
    <row r="259" spans="1:11" x14ac:dyDescent="0.3">
      <c r="A259" t="s">
        <v>323</v>
      </c>
      <c r="B259" s="2">
        <v>45943</v>
      </c>
      <c r="C259" t="s">
        <v>66</v>
      </c>
      <c r="D259" t="s">
        <v>13</v>
      </c>
      <c r="E259" t="s">
        <v>98</v>
      </c>
      <c r="F259" t="s">
        <v>15</v>
      </c>
      <c r="G259">
        <v>5</v>
      </c>
      <c r="H259" s="3">
        <v>2110</v>
      </c>
      <c r="I259" s="3">
        <v>10550</v>
      </c>
      <c r="J259" t="s">
        <v>22</v>
      </c>
      <c r="K259" t="s">
        <v>37</v>
      </c>
    </row>
    <row r="260" spans="1:11" x14ac:dyDescent="0.3">
      <c r="A260" t="s">
        <v>324</v>
      </c>
      <c r="B260" s="2">
        <v>45695</v>
      </c>
      <c r="C260" t="s">
        <v>66</v>
      </c>
      <c r="D260" t="s">
        <v>13</v>
      </c>
      <c r="E260" t="s">
        <v>55</v>
      </c>
      <c r="F260" t="s">
        <v>47</v>
      </c>
      <c r="G260">
        <v>6</v>
      </c>
      <c r="H260" s="3">
        <v>8650</v>
      </c>
      <c r="I260" s="3">
        <v>51900</v>
      </c>
      <c r="J260" t="s">
        <v>29</v>
      </c>
      <c r="K260" t="s">
        <v>23</v>
      </c>
    </row>
    <row r="261" spans="1:11" x14ac:dyDescent="0.3">
      <c r="A261" t="s">
        <v>325</v>
      </c>
      <c r="B261" s="2">
        <v>46018</v>
      </c>
      <c r="C261" t="s">
        <v>19</v>
      </c>
      <c r="D261" t="s">
        <v>53</v>
      </c>
      <c r="E261" t="s">
        <v>27</v>
      </c>
      <c r="F261" t="s">
        <v>28</v>
      </c>
      <c r="G261">
        <v>2</v>
      </c>
      <c r="H261" s="3">
        <v>50680</v>
      </c>
      <c r="I261" s="3">
        <v>101360</v>
      </c>
      <c r="J261" t="s">
        <v>29</v>
      </c>
      <c r="K261" t="s">
        <v>56</v>
      </c>
    </row>
    <row r="262" spans="1:11" x14ac:dyDescent="0.3">
      <c r="A262" t="s">
        <v>326</v>
      </c>
      <c r="B262" s="2">
        <v>45811</v>
      </c>
      <c r="C262" t="s">
        <v>120</v>
      </c>
      <c r="D262" t="s">
        <v>13</v>
      </c>
      <c r="E262" t="s">
        <v>35</v>
      </c>
      <c r="F262" t="s">
        <v>36</v>
      </c>
      <c r="G262">
        <v>5</v>
      </c>
      <c r="H262" s="3">
        <v>12060</v>
      </c>
      <c r="I262" s="3">
        <v>60300</v>
      </c>
      <c r="J262" t="s">
        <v>16</v>
      </c>
      <c r="K262" t="s">
        <v>23</v>
      </c>
    </row>
    <row r="263" spans="1:11" x14ac:dyDescent="0.3">
      <c r="A263" t="s">
        <v>327</v>
      </c>
      <c r="B263" s="2">
        <v>45758</v>
      </c>
      <c r="C263" t="s">
        <v>66</v>
      </c>
      <c r="D263" t="s">
        <v>13</v>
      </c>
      <c r="E263" t="s">
        <v>39</v>
      </c>
      <c r="F263" t="s">
        <v>15</v>
      </c>
      <c r="G263">
        <v>3</v>
      </c>
      <c r="H263" s="3">
        <v>3450</v>
      </c>
      <c r="I263" s="3">
        <v>10350</v>
      </c>
      <c r="J263" t="s">
        <v>16</v>
      </c>
      <c r="K263" t="s">
        <v>56</v>
      </c>
    </row>
    <row r="264" spans="1:11" x14ac:dyDescent="0.3">
      <c r="A264" t="s">
        <v>328</v>
      </c>
      <c r="B264" s="2">
        <v>45873</v>
      </c>
      <c r="C264" t="s">
        <v>103</v>
      </c>
      <c r="D264" t="s">
        <v>13</v>
      </c>
      <c r="E264" t="s">
        <v>27</v>
      </c>
      <c r="F264" t="s">
        <v>28</v>
      </c>
      <c r="G264">
        <v>5</v>
      </c>
      <c r="H264" s="3">
        <v>51010</v>
      </c>
      <c r="I264" s="3">
        <v>255050</v>
      </c>
      <c r="J264" t="s">
        <v>22</v>
      </c>
      <c r="K264" t="s">
        <v>23</v>
      </c>
    </row>
    <row r="265" spans="1:11" x14ac:dyDescent="0.3">
      <c r="A265" t="s">
        <v>329</v>
      </c>
      <c r="B265" s="2">
        <v>45820</v>
      </c>
      <c r="C265" t="s">
        <v>19</v>
      </c>
      <c r="D265" t="s">
        <v>53</v>
      </c>
      <c r="E265" t="s">
        <v>64</v>
      </c>
      <c r="F265" t="s">
        <v>28</v>
      </c>
      <c r="G265">
        <v>2</v>
      </c>
      <c r="H265" s="3">
        <v>15240</v>
      </c>
      <c r="I265" s="3">
        <v>30480</v>
      </c>
      <c r="J265" t="s">
        <v>22</v>
      </c>
      <c r="K265" t="s">
        <v>17</v>
      </c>
    </row>
    <row r="266" spans="1:11" x14ac:dyDescent="0.3">
      <c r="A266" t="s">
        <v>330</v>
      </c>
      <c r="B266" s="2">
        <v>45682</v>
      </c>
      <c r="C266" t="s">
        <v>19</v>
      </c>
      <c r="D266" t="s">
        <v>26</v>
      </c>
      <c r="E266" t="s">
        <v>14</v>
      </c>
      <c r="F266" t="s">
        <v>15</v>
      </c>
      <c r="G266">
        <v>10</v>
      </c>
      <c r="H266" s="3">
        <v>1840</v>
      </c>
      <c r="I266" s="3">
        <v>18400</v>
      </c>
      <c r="J266" t="s">
        <v>29</v>
      </c>
      <c r="K266" t="s">
        <v>23</v>
      </c>
    </row>
    <row r="267" spans="1:11" x14ac:dyDescent="0.3">
      <c r="A267" t="s">
        <v>331</v>
      </c>
      <c r="B267" s="2">
        <v>45993</v>
      </c>
      <c r="C267" t="s">
        <v>89</v>
      </c>
      <c r="D267" t="s">
        <v>26</v>
      </c>
      <c r="E267" t="s">
        <v>14</v>
      </c>
      <c r="F267" t="s">
        <v>15</v>
      </c>
      <c r="G267">
        <v>4</v>
      </c>
      <c r="H267" s="3">
        <v>1700</v>
      </c>
      <c r="I267" s="3">
        <v>6800</v>
      </c>
      <c r="J267" t="s">
        <v>16</v>
      </c>
      <c r="K267" t="s">
        <v>17</v>
      </c>
    </row>
    <row r="268" spans="1:11" x14ac:dyDescent="0.3">
      <c r="A268" t="s">
        <v>332</v>
      </c>
      <c r="B268" s="2">
        <v>45682</v>
      </c>
      <c r="C268" t="s">
        <v>31</v>
      </c>
      <c r="D268" t="s">
        <v>20</v>
      </c>
      <c r="E268" t="s">
        <v>21</v>
      </c>
      <c r="F268" t="s">
        <v>15</v>
      </c>
      <c r="G268">
        <v>1</v>
      </c>
      <c r="H268" s="3">
        <v>880</v>
      </c>
      <c r="I268" s="3">
        <v>880</v>
      </c>
      <c r="J268" t="s">
        <v>29</v>
      </c>
      <c r="K268" t="s">
        <v>33</v>
      </c>
    </row>
    <row r="269" spans="1:11" x14ac:dyDescent="0.3">
      <c r="A269" t="s">
        <v>333</v>
      </c>
      <c r="B269" s="2">
        <v>45688</v>
      </c>
      <c r="C269" t="s">
        <v>89</v>
      </c>
      <c r="D269" t="s">
        <v>20</v>
      </c>
      <c r="E269" t="s">
        <v>55</v>
      </c>
      <c r="F269" t="s">
        <v>47</v>
      </c>
      <c r="G269">
        <v>1</v>
      </c>
      <c r="H269" s="3">
        <v>8630</v>
      </c>
      <c r="I269" s="3">
        <v>8630</v>
      </c>
      <c r="J269" t="s">
        <v>22</v>
      </c>
      <c r="K269" t="s">
        <v>50</v>
      </c>
    </row>
    <row r="270" spans="1:11" x14ac:dyDescent="0.3">
      <c r="A270" t="s">
        <v>334</v>
      </c>
      <c r="B270" s="2">
        <v>45911</v>
      </c>
      <c r="C270" t="s">
        <v>19</v>
      </c>
      <c r="D270" t="s">
        <v>20</v>
      </c>
      <c r="E270" t="s">
        <v>27</v>
      </c>
      <c r="F270" t="s">
        <v>28</v>
      </c>
      <c r="G270">
        <v>4</v>
      </c>
      <c r="H270" s="3">
        <v>49640</v>
      </c>
      <c r="I270" s="3">
        <v>198560</v>
      </c>
      <c r="J270" t="s">
        <v>16</v>
      </c>
      <c r="K270" t="s">
        <v>17</v>
      </c>
    </row>
    <row r="271" spans="1:11" x14ac:dyDescent="0.3">
      <c r="A271" t="s">
        <v>335</v>
      </c>
      <c r="B271" s="2">
        <v>46002</v>
      </c>
      <c r="C271" t="s">
        <v>19</v>
      </c>
      <c r="D271" t="s">
        <v>13</v>
      </c>
      <c r="E271" t="s">
        <v>21</v>
      </c>
      <c r="F271" t="s">
        <v>15</v>
      </c>
      <c r="G271">
        <v>3</v>
      </c>
      <c r="H271" s="3">
        <v>860</v>
      </c>
      <c r="I271" s="3">
        <v>2580</v>
      </c>
      <c r="J271" t="s">
        <v>16</v>
      </c>
      <c r="K271" t="s">
        <v>37</v>
      </c>
    </row>
    <row r="272" spans="1:11" x14ac:dyDescent="0.3">
      <c r="A272" t="s">
        <v>336</v>
      </c>
      <c r="B272" s="2">
        <v>45740</v>
      </c>
      <c r="C272" t="s">
        <v>93</v>
      </c>
      <c r="D272" t="s">
        <v>53</v>
      </c>
      <c r="E272" t="s">
        <v>27</v>
      </c>
      <c r="F272" t="s">
        <v>28</v>
      </c>
      <c r="G272">
        <v>4</v>
      </c>
      <c r="H272" s="3">
        <v>56020</v>
      </c>
      <c r="I272" s="3">
        <v>224080</v>
      </c>
      <c r="J272" t="s">
        <v>29</v>
      </c>
      <c r="K272" t="s">
        <v>56</v>
      </c>
    </row>
    <row r="273" spans="1:11" x14ac:dyDescent="0.3">
      <c r="A273" t="s">
        <v>337</v>
      </c>
      <c r="B273" s="2">
        <v>45909</v>
      </c>
      <c r="C273" t="s">
        <v>60</v>
      </c>
      <c r="D273" t="s">
        <v>20</v>
      </c>
      <c r="E273" t="s">
        <v>55</v>
      </c>
      <c r="F273" t="s">
        <v>47</v>
      </c>
      <c r="G273">
        <v>2</v>
      </c>
      <c r="H273" s="3">
        <v>8060</v>
      </c>
      <c r="I273" s="3">
        <v>16120</v>
      </c>
      <c r="J273" t="s">
        <v>16</v>
      </c>
      <c r="K273" t="s">
        <v>56</v>
      </c>
    </row>
    <row r="274" spans="1:11" x14ac:dyDescent="0.3">
      <c r="A274" t="s">
        <v>338</v>
      </c>
      <c r="B274" s="2">
        <v>45781</v>
      </c>
      <c r="C274" t="s">
        <v>69</v>
      </c>
      <c r="D274" t="s">
        <v>53</v>
      </c>
      <c r="E274" t="s">
        <v>64</v>
      </c>
      <c r="F274" t="s">
        <v>28</v>
      </c>
      <c r="G274">
        <v>2</v>
      </c>
      <c r="H274" s="3">
        <v>13740</v>
      </c>
      <c r="I274" s="3">
        <v>27480</v>
      </c>
      <c r="J274" t="s">
        <v>22</v>
      </c>
      <c r="K274" t="s">
        <v>50</v>
      </c>
    </row>
    <row r="275" spans="1:11" x14ac:dyDescent="0.3">
      <c r="A275" t="s">
        <v>339</v>
      </c>
      <c r="B275" s="2">
        <v>45664</v>
      </c>
      <c r="C275" t="s">
        <v>89</v>
      </c>
      <c r="D275" t="s">
        <v>53</v>
      </c>
      <c r="E275" t="s">
        <v>46</v>
      </c>
      <c r="F275" t="s">
        <v>47</v>
      </c>
      <c r="G275">
        <v>3</v>
      </c>
      <c r="H275" s="3">
        <v>11410</v>
      </c>
      <c r="I275" s="3">
        <v>34230</v>
      </c>
      <c r="J275" t="s">
        <v>29</v>
      </c>
      <c r="K275" t="s">
        <v>50</v>
      </c>
    </row>
    <row r="276" spans="1:11" x14ac:dyDescent="0.3">
      <c r="A276" t="s">
        <v>340</v>
      </c>
      <c r="B276" s="2">
        <v>45876</v>
      </c>
      <c r="C276" t="s">
        <v>69</v>
      </c>
      <c r="D276" t="s">
        <v>53</v>
      </c>
      <c r="E276" t="s">
        <v>55</v>
      </c>
      <c r="F276" t="s">
        <v>47</v>
      </c>
      <c r="G276">
        <v>1</v>
      </c>
      <c r="H276" s="3">
        <v>8390</v>
      </c>
      <c r="I276" s="3">
        <v>8390</v>
      </c>
      <c r="J276" t="s">
        <v>29</v>
      </c>
      <c r="K276" t="s">
        <v>37</v>
      </c>
    </row>
    <row r="277" spans="1:11" x14ac:dyDescent="0.3">
      <c r="A277" t="s">
        <v>341</v>
      </c>
      <c r="B277" s="2">
        <v>45670</v>
      </c>
      <c r="C277" t="s">
        <v>43</v>
      </c>
      <c r="D277" t="s">
        <v>26</v>
      </c>
      <c r="E277" t="s">
        <v>98</v>
      </c>
      <c r="F277" t="s">
        <v>15</v>
      </c>
      <c r="G277">
        <v>2</v>
      </c>
      <c r="H277" s="3">
        <v>2240</v>
      </c>
      <c r="I277" s="3">
        <v>4980</v>
      </c>
      <c r="J277" t="s">
        <v>29</v>
      </c>
      <c r="K277" t="s">
        <v>50</v>
      </c>
    </row>
    <row r="278" spans="1:11" x14ac:dyDescent="0.3">
      <c r="A278" t="s">
        <v>342</v>
      </c>
      <c r="B278" s="2">
        <v>45845</v>
      </c>
      <c r="C278" t="s">
        <v>52</v>
      </c>
      <c r="D278" t="s">
        <v>53</v>
      </c>
      <c r="E278" t="s">
        <v>55</v>
      </c>
      <c r="F278" t="s">
        <v>47</v>
      </c>
      <c r="G278">
        <v>8</v>
      </c>
      <c r="H278" s="3">
        <v>8480</v>
      </c>
      <c r="I278" s="3">
        <v>67840</v>
      </c>
      <c r="J278" t="s">
        <v>29</v>
      </c>
      <c r="K278" t="s">
        <v>33</v>
      </c>
    </row>
    <row r="279" spans="1:11" x14ac:dyDescent="0.3">
      <c r="A279" t="s">
        <v>343</v>
      </c>
      <c r="B279" s="2">
        <v>45691</v>
      </c>
      <c r="C279" t="s">
        <v>66</v>
      </c>
      <c r="D279" t="s">
        <v>20</v>
      </c>
      <c r="E279" t="s">
        <v>14</v>
      </c>
      <c r="F279" t="s">
        <v>15</v>
      </c>
      <c r="G279">
        <v>1</v>
      </c>
      <c r="H279" s="3">
        <v>1690</v>
      </c>
      <c r="I279" s="3">
        <v>1690</v>
      </c>
      <c r="J279" t="s">
        <v>22</v>
      </c>
      <c r="K279" t="s">
        <v>17</v>
      </c>
    </row>
    <row r="280" spans="1:11" x14ac:dyDescent="0.3">
      <c r="A280" t="s">
        <v>344</v>
      </c>
      <c r="B280" s="2">
        <v>45678</v>
      </c>
      <c r="C280" t="s">
        <v>103</v>
      </c>
      <c r="D280" t="s">
        <v>26</v>
      </c>
      <c r="E280" t="s">
        <v>14</v>
      </c>
      <c r="F280" t="s">
        <v>15</v>
      </c>
      <c r="G280">
        <v>2</v>
      </c>
      <c r="H280" s="3">
        <v>1790</v>
      </c>
      <c r="I280" s="3">
        <v>3580</v>
      </c>
      <c r="J280" t="s">
        <v>29</v>
      </c>
      <c r="K280" t="s">
        <v>56</v>
      </c>
    </row>
    <row r="281" spans="1:11" x14ac:dyDescent="0.3">
      <c r="A281" t="s">
        <v>345</v>
      </c>
      <c r="B281" s="2">
        <v>45787</v>
      </c>
      <c r="C281" t="s">
        <v>80</v>
      </c>
      <c r="D281" t="s">
        <v>26</v>
      </c>
      <c r="E281" t="s">
        <v>27</v>
      </c>
      <c r="F281" t="s">
        <v>28</v>
      </c>
      <c r="G281">
        <v>4</v>
      </c>
      <c r="H281" s="3">
        <v>55680</v>
      </c>
      <c r="I281" s="3">
        <v>222720</v>
      </c>
      <c r="J281" t="s">
        <v>29</v>
      </c>
      <c r="K281" t="s">
        <v>37</v>
      </c>
    </row>
    <row r="282" spans="1:11" x14ac:dyDescent="0.3">
      <c r="A282" t="s">
        <v>346</v>
      </c>
      <c r="B282" s="2">
        <v>45941</v>
      </c>
      <c r="C282" t="s">
        <v>52</v>
      </c>
      <c r="D282" t="s">
        <v>53</v>
      </c>
      <c r="E282" t="s">
        <v>39</v>
      </c>
      <c r="F282" t="s">
        <v>15</v>
      </c>
      <c r="G282">
        <v>2</v>
      </c>
      <c r="H282" s="3">
        <v>3340</v>
      </c>
      <c r="I282" s="3">
        <v>6680</v>
      </c>
      <c r="J282" t="s">
        <v>22</v>
      </c>
      <c r="K282" t="s">
        <v>17</v>
      </c>
    </row>
    <row r="283" spans="1:11" x14ac:dyDescent="0.3">
      <c r="A283" t="s">
        <v>347</v>
      </c>
      <c r="B283" s="2">
        <v>46000</v>
      </c>
      <c r="C283" t="s">
        <v>49</v>
      </c>
      <c r="D283" t="s">
        <v>53</v>
      </c>
      <c r="E283" t="s">
        <v>21</v>
      </c>
      <c r="F283" t="s">
        <v>15</v>
      </c>
      <c r="G283">
        <v>2</v>
      </c>
      <c r="H283" s="3">
        <v>960</v>
      </c>
      <c r="I283" s="3">
        <v>1920</v>
      </c>
      <c r="J283" t="s">
        <v>29</v>
      </c>
      <c r="K283" t="s">
        <v>33</v>
      </c>
    </row>
    <row r="284" spans="1:11" x14ac:dyDescent="0.3">
      <c r="A284" t="s">
        <v>348</v>
      </c>
      <c r="B284" s="2">
        <v>45744</v>
      </c>
      <c r="C284" t="s">
        <v>52</v>
      </c>
      <c r="D284" t="s">
        <v>26</v>
      </c>
      <c r="E284" t="s">
        <v>35</v>
      </c>
      <c r="F284" t="s">
        <v>36</v>
      </c>
      <c r="G284">
        <v>4</v>
      </c>
      <c r="H284" s="3">
        <v>11580</v>
      </c>
      <c r="I284" s="3">
        <v>46320</v>
      </c>
      <c r="J284" t="s">
        <v>29</v>
      </c>
      <c r="K284" t="s">
        <v>17</v>
      </c>
    </row>
    <row r="285" spans="1:11" x14ac:dyDescent="0.3">
      <c r="A285" t="s">
        <v>349</v>
      </c>
      <c r="B285" s="2">
        <v>45934</v>
      </c>
      <c r="C285" t="s">
        <v>45</v>
      </c>
      <c r="D285" t="s">
        <v>13</v>
      </c>
      <c r="E285" t="s">
        <v>27</v>
      </c>
      <c r="F285" t="s">
        <v>28</v>
      </c>
      <c r="G285">
        <v>1</v>
      </c>
      <c r="H285" s="3">
        <v>55800</v>
      </c>
      <c r="I285" s="3">
        <v>55800</v>
      </c>
      <c r="J285" t="s">
        <v>16</v>
      </c>
      <c r="K285" t="s">
        <v>23</v>
      </c>
    </row>
    <row r="286" spans="1:11" x14ac:dyDescent="0.3">
      <c r="A286" t="s">
        <v>350</v>
      </c>
      <c r="B286" s="2">
        <v>45685</v>
      </c>
      <c r="C286" t="s">
        <v>101</v>
      </c>
      <c r="D286" t="s">
        <v>53</v>
      </c>
      <c r="E286" t="s">
        <v>39</v>
      </c>
      <c r="F286" t="s">
        <v>15</v>
      </c>
      <c r="G286">
        <v>10</v>
      </c>
      <c r="H286" s="3">
        <v>3430</v>
      </c>
      <c r="I286" s="3">
        <v>34300</v>
      </c>
      <c r="J286" t="s">
        <v>22</v>
      </c>
      <c r="K286" t="s">
        <v>50</v>
      </c>
    </row>
    <row r="287" spans="1:11" x14ac:dyDescent="0.3">
      <c r="A287" t="s">
        <v>351</v>
      </c>
      <c r="B287" s="2">
        <v>45795</v>
      </c>
      <c r="C287" t="s">
        <v>69</v>
      </c>
      <c r="D287" t="s">
        <v>53</v>
      </c>
      <c r="E287" t="s">
        <v>35</v>
      </c>
      <c r="F287" t="s">
        <v>36</v>
      </c>
      <c r="G287">
        <v>6</v>
      </c>
      <c r="H287" s="3">
        <v>11640</v>
      </c>
      <c r="I287" s="3">
        <v>69840</v>
      </c>
      <c r="J287" t="s">
        <v>29</v>
      </c>
      <c r="K287" t="s">
        <v>56</v>
      </c>
    </row>
    <row r="288" spans="1:11" x14ac:dyDescent="0.3">
      <c r="A288" t="s">
        <v>352</v>
      </c>
      <c r="B288" s="2">
        <v>45949</v>
      </c>
      <c r="C288" t="s">
        <v>120</v>
      </c>
      <c r="D288" t="s">
        <v>13</v>
      </c>
      <c r="E288" t="s">
        <v>39</v>
      </c>
      <c r="F288" t="s">
        <v>15</v>
      </c>
      <c r="G288">
        <v>4</v>
      </c>
      <c r="H288" s="3">
        <v>2950</v>
      </c>
      <c r="I288" s="3">
        <v>11800</v>
      </c>
      <c r="J288" t="s">
        <v>29</v>
      </c>
      <c r="K288" t="s">
        <v>56</v>
      </c>
    </row>
    <row r="289" spans="1:11" x14ac:dyDescent="0.3">
      <c r="A289" t="s">
        <v>353</v>
      </c>
      <c r="B289" s="2">
        <v>45923</v>
      </c>
      <c r="C289" t="s">
        <v>120</v>
      </c>
      <c r="D289" t="s">
        <v>20</v>
      </c>
      <c r="E289" t="s">
        <v>39</v>
      </c>
      <c r="F289" t="s">
        <v>15</v>
      </c>
      <c r="G289">
        <v>3</v>
      </c>
      <c r="H289" s="3">
        <v>3400</v>
      </c>
      <c r="I289" s="3">
        <v>10200</v>
      </c>
      <c r="J289" t="s">
        <v>16</v>
      </c>
      <c r="K289" t="s">
        <v>37</v>
      </c>
    </row>
    <row r="290" spans="1:11" x14ac:dyDescent="0.3">
      <c r="A290" t="s">
        <v>354</v>
      </c>
      <c r="B290" s="2">
        <v>45945</v>
      </c>
      <c r="C290" t="s">
        <v>19</v>
      </c>
      <c r="D290" t="s">
        <v>53</v>
      </c>
      <c r="E290" t="s">
        <v>32</v>
      </c>
      <c r="F290" t="s">
        <v>28</v>
      </c>
      <c r="G290">
        <v>4</v>
      </c>
      <c r="H290" s="3">
        <v>29110</v>
      </c>
      <c r="I290" s="3">
        <v>116440</v>
      </c>
      <c r="J290" t="s">
        <v>22</v>
      </c>
      <c r="K290" t="s">
        <v>56</v>
      </c>
    </row>
    <row r="291" spans="1:11" x14ac:dyDescent="0.3">
      <c r="A291" t="s">
        <v>355</v>
      </c>
      <c r="B291" s="2">
        <v>45972</v>
      </c>
      <c r="C291" t="s">
        <v>89</v>
      </c>
      <c r="D291" t="s">
        <v>20</v>
      </c>
      <c r="E291" t="s">
        <v>39</v>
      </c>
      <c r="F291" t="s">
        <v>15</v>
      </c>
      <c r="G291">
        <v>2</v>
      </c>
      <c r="H291" s="3">
        <v>3130</v>
      </c>
      <c r="I291" s="3">
        <v>6260</v>
      </c>
      <c r="J291" t="s">
        <v>22</v>
      </c>
      <c r="K291" t="s">
        <v>56</v>
      </c>
    </row>
    <row r="292" spans="1:11" x14ac:dyDescent="0.3">
      <c r="A292" t="s">
        <v>356</v>
      </c>
      <c r="B292" s="2">
        <v>45829</v>
      </c>
      <c r="C292" t="s">
        <v>101</v>
      </c>
      <c r="D292" t="s">
        <v>13</v>
      </c>
      <c r="E292" t="s">
        <v>64</v>
      </c>
      <c r="F292" t="s">
        <v>28</v>
      </c>
      <c r="G292">
        <v>2</v>
      </c>
      <c r="H292" s="3">
        <v>15490</v>
      </c>
      <c r="I292" s="3">
        <v>30980</v>
      </c>
      <c r="J292" t="s">
        <v>29</v>
      </c>
      <c r="K292" t="s">
        <v>50</v>
      </c>
    </row>
    <row r="293" spans="1:11" x14ac:dyDescent="0.3">
      <c r="A293" t="s">
        <v>357</v>
      </c>
      <c r="B293" s="2">
        <v>45925</v>
      </c>
      <c r="C293" t="s">
        <v>93</v>
      </c>
      <c r="D293" t="s">
        <v>53</v>
      </c>
      <c r="E293" t="s">
        <v>14</v>
      </c>
      <c r="F293" t="s">
        <v>15</v>
      </c>
      <c r="G293">
        <v>5</v>
      </c>
      <c r="H293" s="3">
        <v>1900</v>
      </c>
      <c r="I293" s="3">
        <v>9500</v>
      </c>
      <c r="J293" t="s">
        <v>22</v>
      </c>
      <c r="K293" t="s">
        <v>50</v>
      </c>
    </row>
    <row r="294" spans="1:11" x14ac:dyDescent="0.3">
      <c r="A294" t="s">
        <v>358</v>
      </c>
      <c r="B294" s="2">
        <v>46017</v>
      </c>
      <c r="C294" t="s">
        <v>89</v>
      </c>
      <c r="D294" t="s">
        <v>53</v>
      </c>
      <c r="E294" t="s">
        <v>98</v>
      </c>
      <c r="F294" t="s">
        <v>15</v>
      </c>
      <c r="G294">
        <v>3</v>
      </c>
      <c r="H294" s="3">
        <v>2320</v>
      </c>
      <c r="I294" s="3">
        <v>6960</v>
      </c>
      <c r="J294" t="s">
        <v>16</v>
      </c>
      <c r="K294" t="s">
        <v>33</v>
      </c>
    </row>
    <row r="295" spans="1:11" x14ac:dyDescent="0.3">
      <c r="A295" t="s">
        <v>359</v>
      </c>
      <c r="B295" s="2">
        <v>46002</v>
      </c>
      <c r="C295" t="s">
        <v>49</v>
      </c>
      <c r="D295" t="s">
        <v>13</v>
      </c>
      <c r="E295" t="s">
        <v>27</v>
      </c>
      <c r="F295" t="s">
        <v>28</v>
      </c>
      <c r="G295">
        <v>2</v>
      </c>
      <c r="H295" s="3">
        <v>54110</v>
      </c>
      <c r="I295" s="3">
        <v>108220</v>
      </c>
      <c r="J295" t="s">
        <v>22</v>
      </c>
      <c r="K295" t="s">
        <v>50</v>
      </c>
    </row>
    <row r="296" spans="1:11" x14ac:dyDescent="0.3">
      <c r="A296" t="s">
        <v>360</v>
      </c>
      <c r="B296" s="2">
        <v>45745</v>
      </c>
      <c r="C296" t="s">
        <v>25</v>
      </c>
      <c r="D296" t="s">
        <v>26</v>
      </c>
      <c r="E296" t="s">
        <v>98</v>
      </c>
      <c r="F296" t="s">
        <v>15</v>
      </c>
      <c r="G296">
        <v>1</v>
      </c>
      <c r="H296" s="3">
        <v>2360</v>
      </c>
      <c r="I296" s="3">
        <v>2360</v>
      </c>
      <c r="J296" t="s">
        <v>22</v>
      </c>
      <c r="K296" t="s">
        <v>17</v>
      </c>
    </row>
    <row r="297" spans="1:11" x14ac:dyDescent="0.3">
      <c r="A297" t="s">
        <v>361</v>
      </c>
      <c r="B297" s="2">
        <v>45775</v>
      </c>
      <c r="C297" t="s">
        <v>101</v>
      </c>
      <c r="D297" t="s">
        <v>53</v>
      </c>
      <c r="E297" t="s">
        <v>98</v>
      </c>
      <c r="F297" t="s">
        <v>15</v>
      </c>
      <c r="G297">
        <v>5</v>
      </c>
      <c r="H297" s="3">
        <v>2240</v>
      </c>
      <c r="I297" s="3">
        <v>11200</v>
      </c>
      <c r="J297" t="s">
        <v>29</v>
      </c>
      <c r="K297" t="s">
        <v>23</v>
      </c>
    </row>
    <row r="298" spans="1:11" x14ac:dyDescent="0.3">
      <c r="A298" t="s">
        <v>362</v>
      </c>
      <c r="B298" s="2">
        <v>45768</v>
      </c>
      <c r="C298" t="s">
        <v>45</v>
      </c>
      <c r="D298" t="s">
        <v>13</v>
      </c>
      <c r="E298" t="s">
        <v>46</v>
      </c>
      <c r="F298" t="s">
        <v>47</v>
      </c>
      <c r="G298">
        <v>4</v>
      </c>
      <c r="H298" s="3">
        <v>12500</v>
      </c>
      <c r="I298" s="3">
        <v>50000</v>
      </c>
      <c r="J298" t="s">
        <v>22</v>
      </c>
      <c r="K298" t="s">
        <v>56</v>
      </c>
    </row>
    <row r="299" spans="1:11" x14ac:dyDescent="0.3">
      <c r="A299" t="s">
        <v>363</v>
      </c>
      <c r="B299" s="2">
        <v>45881</v>
      </c>
      <c r="C299" t="s">
        <v>103</v>
      </c>
      <c r="D299" t="s">
        <v>13</v>
      </c>
      <c r="E299" t="s">
        <v>98</v>
      </c>
      <c r="F299" t="s">
        <v>15</v>
      </c>
      <c r="G299">
        <v>6</v>
      </c>
      <c r="H299" s="3">
        <v>2120</v>
      </c>
      <c r="I299" s="3">
        <v>12720</v>
      </c>
      <c r="J299" t="s">
        <v>16</v>
      </c>
      <c r="K299" t="s">
        <v>56</v>
      </c>
    </row>
    <row r="300" spans="1:11" x14ac:dyDescent="0.3">
      <c r="A300" t="s">
        <v>364</v>
      </c>
      <c r="B300" s="2">
        <v>45723</v>
      </c>
      <c r="C300" t="s">
        <v>93</v>
      </c>
      <c r="D300" t="s">
        <v>20</v>
      </c>
      <c r="E300" t="s">
        <v>35</v>
      </c>
      <c r="F300" t="s">
        <v>36</v>
      </c>
      <c r="G300">
        <v>5</v>
      </c>
      <c r="H300" s="3">
        <v>12730</v>
      </c>
      <c r="I300" s="3">
        <v>63650</v>
      </c>
      <c r="J300" t="s">
        <v>29</v>
      </c>
      <c r="K300" t="s">
        <v>56</v>
      </c>
    </row>
    <row r="301" spans="1:11" x14ac:dyDescent="0.3">
      <c r="A301" t="s">
        <v>365</v>
      </c>
      <c r="B301" s="2">
        <v>45711</v>
      </c>
      <c r="C301" t="s">
        <v>25</v>
      </c>
      <c r="D301" t="s">
        <v>26</v>
      </c>
      <c r="E301" t="s">
        <v>35</v>
      </c>
      <c r="F301" t="s">
        <v>36</v>
      </c>
      <c r="G301">
        <v>1</v>
      </c>
      <c r="H301" s="3">
        <v>13020</v>
      </c>
      <c r="I301" s="3">
        <v>13020</v>
      </c>
      <c r="J301" t="s">
        <v>22</v>
      </c>
      <c r="K301" t="s">
        <v>23</v>
      </c>
    </row>
    <row r="302" spans="1:11" x14ac:dyDescent="0.3">
      <c r="A302" t="s">
        <v>320</v>
      </c>
      <c r="B302" s="2">
        <v>45921</v>
      </c>
      <c r="C302" t="s">
        <v>25</v>
      </c>
      <c r="D302" t="s">
        <v>13</v>
      </c>
      <c r="E302" t="s">
        <v>35</v>
      </c>
      <c r="F302" t="s">
        <v>36</v>
      </c>
      <c r="G302">
        <v>5</v>
      </c>
      <c r="H302" s="3">
        <v>12430</v>
      </c>
      <c r="I302" s="3">
        <v>62150</v>
      </c>
      <c r="J302" t="s">
        <v>29</v>
      </c>
      <c r="K302" t="s">
        <v>50</v>
      </c>
    </row>
    <row r="303" spans="1:11" x14ac:dyDescent="0.3">
      <c r="A303" t="s">
        <v>117</v>
      </c>
      <c r="B303" s="2">
        <v>45959</v>
      </c>
      <c r="C303" t="s">
        <v>19</v>
      </c>
      <c r="D303" t="s">
        <v>26</v>
      </c>
      <c r="E303" t="s">
        <v>64</v>
      </c>
      <c r="F303" t="s">
        <v>28</v>
      </c>
      <c r="G303">
        <v>2</v>
      </c>
      <c r="H303" s="3">
        <v>13840</v>
      </c>
      <c r="I303" s="3">
        <v>27680</v>
      </c>
      <c r="J303" t="s">
        <v>16</v>
      </c>
      <c r="K303" t="s">
        <v>37</v>
      </c>
    </row>
    <row r="304" spans="1:11" x14ac:dyDescent="0.3">
      <c r="A304" t="s">
        <v>213</v>
      </c>
      <c r="B304" s="2">
        <v>45847</v>
      </c>
      <c r="C304" t="s">
        <v>89</v>
      </c>
      <c r="D304" t="s">
        <v>20</v>
      </c>
      <c r="E304" t="s">
        <v>32</v>
      </c>
      <c r="F304" t="s">
        <v>28</v>
      </c>
      <c r="G304">
        <v>3</v>
      </c>
      <c r="H304" s="3">
        <v>28330</v>
      </c>
      <c r="I304" s="3">
        <v>84990</v>
      </c>
      <c r="J304" t="s">
        <v>22</v>
      </c>
      <c r="K304" t="s">
        <v>33</v>
      </c>
    </row>
    <row r="305" spans="1:11" x14ac:dyDescent="0.3">
      <c r="A305" t="s">
        <v>127</v>
      </c>
      <c r="B305" s="2">
        <v>45731</v>
      </c>
      <c r="C305" t="s">
        <v>25</v>
      </c>
      <c r="D305" t="s">
        <v>26</v>
      </c>
      <c r="E305" t="s">
        <v>14</v>
      </c>
      <c r="F305" t="s">
        <v>15</v>
      </c>
      <c r="G305">
        <v>1</v>
      </c>
      <c r="H305" s="3">
        <v>1700</v>
      </c>
      <c r="I305" s="3">
        <v>1700</v>
      </c>
      <c r="J305" t="s">
        <v>29</v>
      </c>
      <c r="K305" t="s">
        <v>23</v>
      </c>
    </row>
    <row r="306" spans="1:11" x14ac:dyDescent="0.3">
      <c r="A306" t="s">
        <v>177</v>
      </c>
      <c r="B306" s="2">
        <v>46006</v>
      </c>
      <c r="C306" t="s">
        <v>45</v>
      </c>
      <c r="D306" t="s">
        <v>53</v>
      </c>
      <c r="E306" t="s">
        <v>39</v>
      </c>
      <c r="F306" t="s">
        <v>15</v>
      </c>
      <c r="G306">
        <v>4</v>
      </c>
      <c r="H306" s="3">
        <v>2970</v>
      </c>
      <c r="I306" s="3">
        <v>11880</v>
      </c>
      <c r="J306" t="s">
        <v>29</v>
      </c>
      <c r="K306" t="s">
        <v>50</v>
      </c>
    </row>
    <row r="307" spans="1:11" x14ac:dyDescent="0.3">
      <c r="A307" t="s">
        <v>346</v>
      </c>
      <c r="B307" s="2">
        <v>45941</v>
      </c>
      <c r="C307" t="s">
        <v>52</v>
      </c>
      <c r="D307" t="s">
        <v>53</v>
      </c>
      <c r="E307" t="s">
        <v>39</v>
      </c>
      <c r="F307" t="s">
        <v>15</v>
      </c>
      <c r="G307">
        <v>2</v>
      </c>
      <c r="H307" s="3">
        <v>3340</v>
      </c>
      <c r="I307" s="3">
        <v>6680</v>
      </c>
      <c r="J307" t="s">
        <v>22</v>
      </c>
      <c r="K307" t="s">
        <v>17</v>
      </c>
    </row>
  </sheetData>
  <autoFilter ref="A1:K30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4" sqref="B4"/>
    </sheetView>
  </sheetViews>
  <sheetFormatPr defaultRowHeight="14.4" x14ac:dyDescent="0.3"/>
  <cols>
    <col min="1" max="1" width="57.21875" bestFit="1" customWidth="1"/>
    <col min="2" max="2" width="110" customWidth="1"/>
  </cols>
  <sheetData>
    <row r="1" spans="1:2" ht="21" x14ac:dyDescent="0.4">
      <c r="A1" s="4" t="s">
        <v>366</v>
      </c>
    </row>
    <row r="3" spans="1:2" x14ac:dyDescent="0.3">
      <c r="A3" s="5" t="s">
        <v>367</v>
      </c>
      <c r="B3" t="s">
        <v>368</v>
      </c>
    </row>
    <row r="4" spans="1:2" x14ac:dyDescent="0.3">
      <c r="A4" s="5" t="s">
        <v>369</v>
      </c>
      <c r="B4" t="s">
        <v>370</v>
      </c>
    </row>
    <row r="5" spans="1:2" x14ac:dyDescent="0.3">
      <c r="A5" s="5" t="s">
        <v>371</v>
      </c>
      <c r="B5" t="s">
        <v>372</v>
      </c>
    </row>
    <row r="6" spans="1:2" x14ac:dyDescent="0.3">
      <c r="A6" s="5" t="s">
        <v>373</v>
      </c>
      <c r="B6" t="s">
        <v>374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DE9C-E2DB-437E-AD46-198376BEB08D}">
  <dimension ref="A1:O301"/>
  <sheetViews>
    <sheetView workbookViewId="0">
      <pane ySplit="1" topLeftCell="A2" activePane="bottomLeft" state="frozen"/>
      <selection pane="bottomLeft" activeCell="I2" sqref="I2"/>
    </sheetView>
  </sheetViews>
  <sheetFormatPr defaultRowHeight="14.4" x14ac:dyDescent="0.3"/>
  <cols>
    <col min="1" max="1" width="12" customWidth="1"/>
    <col min="2" max="2" width="15.109375" customWidth="1"/>
    <col min="3" max="3" width="22" customWidth="1"/>
    <col min="4" max="4" width="14" customWidth="1"/>
    <col min="5" max="5" width="18" customWidth="1"/>
    <col min="6" max="6" width="20" customWidth="1"/>
    <col min="7" max="7" width="10" customWidth="1"/>
    <col min="8" max="9" width="14" customWidth="1"/>
    <col min="10" max="10" width="16" customWidth="1"/>
    <col min="11" max="11" width="19" customWidth="1"/>
    <col min="12" max="12" width="22.109375" bestFit="1" customWidth="1"/>
    <col min="13" max="13" width="11.88671875" bestFit="1" customWidth="1"/>
    <col min="14" max="14" width="17.33203125" bestFit="1" customWidth="1"/>
    <col min="15" max="15" width="14" bestFit="1" customWidth="1"/>
  </cols>
  <sheetData>
    <row r="1" spans="1:15" x14ac:dyDescent="0.3">
      <c r="A1" s="1" t="s">
        <v>0</v>
      </c>
      <c r="B1" s="1" t="s">
        <v>1</v>
      </c>
      <c r="C1" s="1" t="s">
        <v>2</v>
      </c>
      <c r="D1" s="1" t="s">
        <v>376</v>
      </c>
      <c r="E1" s="1" t="s">
        <v>4</v>
      </c>
      <c r="F1" s="1" t="s">
        <v>5</v>
      </c>
      <c r="G1" s="1" t="s">
        <v>6</v>
      </c>
      <c r="H1" s="1" t="s">
        <v>7</v>
      </c>
      <c r="I1" s="1" t="s">
        <v>8</v>
      </c>
      <c r="J1" s="1" t="s">
        <v>9</v>
      </c>
      <c r="K1" s="1" t="s">
        <v>10</v>
      </c>
      <c r="L1" s="1" t="s">
        <v>375</v>
      </c>
      <c r="M1" s="1"/>
      <c r="N1" s="1"/>
      <c r="O1" s="1"/>
    </row>
    <row r="2" spans="1:15" x14ac:dyDescent="0.3">
      <c r="A2" t="s">
        <v>11</v>
      </c>
      <c r="B2" s="2">
        <v>45846</v>
      </c>
      <c r="C2" t="s">
        <v>12</v>
      </c>
      <c r="D2" t="s">
        <v>13</v>
      </c>
      <c r="E2" t="s">
        <v>14</v>
      </c>
      <c r="F2" t="s">
        <v>15</v>
      </c>
      <c r="G2">
        <v>8</v>
      </c>
      <c r="H2" s="3">
        <v>1870</v>
      </c>
      <c r="I2" s="3">
        <v>14960</v>
      </c>
      <c r="J2" t="s">
        <v>16</v>
      </c>
      <c r="K2" t="s">
        <v>17</v>
      </c>
      <c r="L2" t="str">
        <f>TRIM(C2)</f>
        <v>Galaxy Tech</v>
      </c>
    </row>
    <row r="3" spans="1:15" x14ac:dyDescent="0.3">
      <c r="A3" t="s">
        <v>18</v>
      </c>
      <c r="B3" s="2">
        <v>45788</v>
      </c>
      <c r="C3" t="s">
        <v>19</v>
      </c>
      <c r="D3" t="s">
        <v>20</v>
      </c>
      <c r="E3" t="s">
        <v>21</v>
      </c>
      <c r="F3" t="s">
        <v>15</v>
      </c>
      <c r="G3">
        <v>2</v>
      </c>
      <c r="H3" s="3">
        <v>850</v>
      </c>
      <c r="I3" s="3">
        <v>1700</v>
      </c>
      <c r="J3" t="s">
        <v>22</v>
      </c>
      <c r="K3" t="s">
        <v>23</v>
      </c>
      <c r="L3" t="str">
        <f t="shared" ref="L3:L66" si="0">TRIM(C3)</f>
        <v>Bright Solutions</v>
      </c>
    </row>
    <row r="4" spans="1:15" x14ac:dyDescent="0.3">
      <c r="A4" t="s">
        <v>24</v>
      </c>
      <c r="B4" s="2">
        <v>45971</v>
      </c>
      <c r="C4" t="s">
        <v>25</v>
      </c>
      <c r="D4" t="s">
        <v>26</v>
      </c>
      <c r="E4" t="s">
        <v>27</v>
      </c>
      <c r="F4" t="s">
        <v>28</v>
      </c>
      <c r="G4">
        <v>10</v>
      </c>
      <c r="H4" s="3">
        <v>52980</v>
      </c>
      <c r="I4" s="3">
        <v>529800</v>
      </c>
      <c r="J4" t="s">
        <v>29</v>
      </c>
      <c r="K4" t="s">
        <v>17</v>
      </c>
      <c r="L4" t="str">
        <f t="shared" si="0"/>
        <v>Lotus Enterprises</v>
      </c>
    </row>
    <row r="5" spans="1:15" x14ac:dyDescent="0.3">
      <c r="A5" t="s">
        <v>30</v>
      </c>
      <c r="B5" s="2">
        <v>45928</v>
      </c>
      <c r="C5" t="s">
        <v>31</v>
      </c>
      <c r="D5" t="s">
        <v>13</v>
      </c>
      <c r="E5" t="s">
        <v>32</v>
      </c>
      <c r="F5" t="s">
        <v>28</v>
      </c>
      <c r="G5">
        <v>1</v>
      </c>
      <c r="H5" s="3">
        <v>27070</v>
      </c>
      <c r="I5" s="3">
        <v>27070</v>
      </c>
      <c r="J5" t="s">
        <v>16</v>
      </c>
      <c r="K5" t="s">
        <v>33</v>
      </c>
      <c r="L5" t="str">
        <f t="shared" si="0"/>
        <v>Orbit Retail</v>
      </c>
    </row>
    <row r="6" spans="1:15" x14ac:dyDescent="0.3">
      <c r="A6" t="s">
        <v>34</v>
      </c>
      <c r="B6" s="2">
        <v>45964</v>
      </c>
      <c r="C6" t="s">
        <v>12</v>
      </c>
      <c r="D6" t="s">
        <v>26</v>
      </c>
      <c r="E6" t="s">
        <v>35</v>
      </c>
      <c r="F6" t="s">
        <v>36</v>
      </c>
      <c r="G6">
        <v>4</v>
      </c>
      <c r="H6" s="3">
        <v>11590</v>
      </c>
      <c r="I6" s="3">
        <v>46360</v>
      </c>
      <c r="J6" t="s">
        <v>29</v>
      </c>
      <c r="K6" t="s">
        <v>37</v>
      </c>
      <c r="L6" t="str">
        <f t="shared" si="0"/>
        <v>Galaxy Tech</v>
      </c>
    </row>
    <row r="7" spans="1:15" x14ac:dyDescent="0.3">
      <c r="A7" t="s">
        <v>38</v>
      </c>
      <c r="B7" s="2">
        <v>45922</v>
      </c>
      <c r="C7" t="s">
        <v>19</v>
      </c>
      <c r="D7" t="s">
        <v>20</v>
      </c>
      <c r="E7" t="s">
        <v>39</v>
      </c>
      <c r="F7" t="s">
        <v>15</v>
      </c>
      <c r="G7">
        <v>10</v>
      </c>
      <c r="H7" s="3">
        <v>3360</v>
      </c>
      <c r="I7" s="3">
        <v>33600</v>
      </c>
      <c r="J7" t="s">
        <v>16</v>
      </c>
      <c r="K7" t="s">
        <v>33</v>
      </c>
      <c r="L7" t="str">
        <f t="shared" si="0"/>
        <v>Bright Solutions</v>
      </c>
    </row>
    <row r="8" spans="1:15" x14ac:dyDescent="0.3">
      <c r="A8" t="s">
        <v>40</v>
      </c>
      <c r="B8" s="2">
        <v>45863</v>
      </c>
      <c r="C8" t="s">
        <v>41</v>
      </c>
      <c r="D8" t="s">
        <v>20</v>
      </c>
      <c r="E8" t="s">
        <v>27</v>
      </c>
      <c r="F8" t="s">
        <v>28</v>
      </c>
      <c r="G8">
        <v>3</v>
      </c>
      <c r="H8" s="3">
        <v>48130</v>
      </c>
      <c r="I8" s="3">
        <v>144390</v>
      </c>
      <c r="J8" t="s">
        <v>22</v>
      </c>
      <c r="K8" t="s">
        <v>33</v>
      </c>
      <c r="L8" t="str">
        <f t="shared" si="0"/>
        <v>QuickBuy Pvt Ltd</v>
      </c>
    </row>
    <row r="9" spans="1:15" x14ac:dyDescent="0.3">
      <c r="A9" t="s">
        <v>42</v>
      </c>
      <c r="B9" s="2">
        <v>45967</v>
      </c>
      <c r="C9" t="s">
        <v>43</v>
      </c>
      <c r="D9" t="s">
        <v>13</v>
      </c>
      <c r="E9" t="s">
        <v>14</v>
      </c>
      <c r="F9" t="s">
        <v>15</v>
      </c>
      <c r="G9">
        <v>3</v>
      </c>
      <c r="H9" s="3">
        <v>1810</v>
      </c>
      <c r="I9" s="3">
        <v>5430</v>
      </c>
      <c r="J9" t="s">
        <v>22</v>
      </c>
      <c r="K9" t="s">
        <v>37</v>
      </c>
      <c r="L9" t="str">
        <f t="shared" si="0"/>
        <v>Royal Traders</v>
      </c>
    </row>
    <row r="10" spans="1:15" x14ac:dyDescent="0.3">
      <c r="A10" t="s">
        <v>44</v>
      </c>
      <c r="B10" s="2">
        <v>45872</v>
      </c>
      <c r="C10" t="s">
        <v>45</v>
      </c>
      <c r="D10" t="s">
        <v>26</v>
      </c>
      <c r="E10" t="s">
        <v>46</v>
      </c>
      <c r="F10" t="s">
        <v>47</v>
      </c>
      <c r="G10">
        <v>4</v>
      </c>
      <c r="H10" s="3">
        <v>12810</v>
      </c>
      <c r="I10" s="3">
        <v>51240</v>
      </c>
      <c r="J10" t="s">
        <v>29</v>
      </c>
      <c r="K10" t="s">
        <v>37</v>
      </c>
      <c r="L10" t="str">
        <f t="shared" si="0"/>
        <v>Horizon Distributors</v>
      </c>
    </row>
    <row r="11" spans="1:15" x14ac:dyDescent="0.3">
      <c r="A11" t="s">
        <v>48</v>
      </c>
      <c r="B11" s="2">
        <v>45845</v>
      </c>
      <c r="C11" t="s">
        <v>49</v>
      </c>
      <c r="D11" t="s">
        <v>26</v>
      </c>
      <c r="E11" t="s">
        <v>35</v>
      </c>
      <c r="F11" t="s">
        <v>36</v>
      </c>
      <c r="G11">
        <v>4</v>
      </c>
      <c r="H11" s="3">
        <v>13430</v>
      </c>
      <c r="I11" s="3">
        <v>53720</v>
      </c>
      <c r="J11" t="s">
        <v>29</v>
      </c>
      <c r="K11" t="s">
        <v>50</v>
      </c>
      <c r="L11" t="str">
        <f t="shared" si="0"/>
        <v>Metro Mart</v>
      </c>
    </row>
    <row r="12" spans="1:15" x14ac:dyDescent="0.3">
      <c r="A12" t="s">
        <v>51</v>
      </c>
      <c r="B12" s="2">
        <v>45793</v>
      </c>
      <c r="C12" t="s">
        <v>52</v>
      </c>
      <c r="D12" t="s">
        <v>53</v>
      </c>
      <c r="E12" t="s">
        <v>27</v>
      </c>
      <c r="F12" t="s">
        <v>28</v>
      </c>
      <c r="G12">
        <v>10</v>
      </c>
      <c r="H12" s="3">
        <v>54270</v>
      </c>
      <c r="I12" s="3">
        <v>542700</v>
      </c>
      <c r="J12" t="s">
        <v>29</v>
      </c>
      <c r="K12" t="s">
        <v>17</v>
      </c>
      <c r="L12" t="str">
        <f t="shared" si="0"/>
        <v>Kaveri Stores</v>
      </c>
    </row>
    <row r="13" spans="1:15" x14ac:dyDescent="0.3">
      <c r="A13" t="s">
        <v>54</v>
      </c>
      <c r="B13" s="2">
        <v>45698</v>
      </c>
      <c r="C13" t="s">
        <v>12</v>
      </c>
      <c r="D13" t="s">
        <v>26</v>
      </c>
      <c r="E13" t="s">
        <v>55</v>
      </c>
      <c r="F13" t="s">
        <v>47</v>
      </c>
      <c r="G13">
        <v>4</v>
      </c>
      <c r="H13" s="3">
        <v>9080</v>
      </c>
      <c r="I13" s="3">
        <v>36320</v>
      </c>
      <c r="J13" t="s">
        <v>22</v>
      </c>
      <c r="K13" t="s">
        <v>56</v>
      </c>
      <c r="L13" t="str">
        <f t="shared" si="0"/>
        <v>Galaxy Tech</v>
      </c>
    </row>
    <row r="14" spans="1:15" x14ac:dyDescent="0.3">
      <c r="A14" t="s">
        <v>57</v>
      </c>
      <c r="B14" s="2">
        <v>45756</v>
      </c>
      <c r="C14" t="s">
        <v>25</v>
      </c>
      <c r="D14" t="s">
        <v>13</v>
      </c>
      <c r="E14" t="s">
        <v>27</v>
      </c>
      <c r="F14" t="s">
        <v>28</v>
      </c>
      <c r="G14">
        <v>2</v>
      </c>
      <c r="H14" s="3">
        <v>50550</v>
      </c>
      <c r="I14" s="3">
        <v>101100</v>
      </c>
      <c r="J14" t="s">
        <v>22</v>
      </c>
      <c r="K14" t="s">
        <v>17</v>
      </c>
      <c r="L14" t="str">
        <f t="shared" si="0"/>
        <v>Lotus Enterprises</v>
      </c>
    </row>
    <row r="15" spans="1:15" x14ac:dyDescent="0.3">
      <c r="A15" t="s">
        <v>59</v>
      </c>
      <c r="B15" s="2">
        <v>45788</v>
      </c>
      <c r="C15" t="s">
        <v>60</v>
      </c>
      <c r="D15" t="s">
        <v>26</v>
      </c>
      <c r="E15" t="s">
        <v>32</v>
      </c>
      <c r="F15" t="s">
        <v>28</v>
      </c>
      <c r="G15">
        <v>2</v>
      </c>
      <c r="H15" s="3">
        <v>30110</v>
      </c>
      <c r="I15" s="3">
        <v>60220</v>
      </c>
      <c r="J15" t="s">
        <v>22</v>
      </c>
      <c r="K15" t="s">
        <v>23</v>
      </c>
      <c r="L15" t="str">
        <f t="shared" si="0"/>
        <v>Alpha Traders</v>
      </c>
    </row>
    <row r="16" spans="1:15" x14ac:dyDescent="0.3">
      <c r="A16" t="s">
        <v>61</v>
      </c>
      <c r="B16" s="2">
        <v>45699</v>
      </c>
      <c r="C16" t="s">
        <v>49</v>
      </c>
      <c r="D16" t="s">
        <v>53</v>
      </c>
      <c r="E16" t="s">
        <v>35</v>
      </c>
      <c r="F16" t="s">
        <v>36</v>
      </c>
      <c r="G16">
        <v>3</v>
      </c>
      <c r="H16" s="3">
        <v>12360</v>
      </c>
      <c r="I16" s="3">
        <v>37080</v>
      </c>
      <c r="J16" t="s">
        <v>16</v>
      </c>
      <c r="K16" t="s">
        <v>56</v>
      </c>
      <c r="L16" t="str">
        <f t="shared" si="0"/>
        <v>Metro Mart</v>
      </c>
    </row>
    <row r="17" spans="1:12" x14ac:dyDescent="0.3">
      <c r="A17" t="s">
        <v>62</v>
      </c>
      <c r="B17" s="2">
        <v>45888</v>
      </c>
      <c r="C17" t="s">
        <v>49</v>
      </c>
      <c r="D17" t="s">
        <v>53</v>
      </c>
      <c r="E17" t="s">
        <v>14</v>
      </c>
      <c r="F17" t="s">
        <v>15</v>
      </c>
      <c r="G17">
        <v>3</v>
      </c>
      <c r="H17" s="3">
        <v>1920</v>
      </c>
      <c r="I17" s="3">
        <v>5760</v>
      </c>
      <c r="J17" t="s">
        <v>16</v>
      </c>
      <c r="K17" t="s">
        <v>50</v>
      </c>
      <c r="L17" t="str">
        <f t="shared" si="0"/>
        <v>Metro Mart</v>
      </c>
    </row>
    <row r="18" spans="1:12" x14ac:dyDescent="0.3">
      <c r="A18" t="s">
        <v>63</v>
      </c>
      <c r="B18" s="2">
        <v>45743</v>
      </c>
      <c r="C18" t="s">
        <v>19</v>
      </c>
      <c r="D18" t="s">
        <v>13</v>
      </c>
      <c r="E18" t="s">
        <v>64</v>
      </c>
      <c r="F18" t="s">
        <v>28</v>
      </c>
      <c r="G18">
        <v>1</v>
      </c>
      <c r="H18" s="3">
        <v>14010</v>
      </c>
      <c r="I18" s="3">
        <v>14010</v>
      </c>
      <c r="J18" t="s">
        <v>29</v>
      </c>
      <c r="K18" t="s">
        <v>23</v>
      </c>
      <c r="L18" t="str">
        <f t="shared" si="0"/>
        <v>Bright Solutions</v>
      </c>
    </row>
    <row r="19" spans="1:12" x14ac:dyDescent="0.3">
      <c r="A19" t="s">
        <v>65</v>
      </c>
      <c r="B19" s="2">
        <v>45701</v>
      </c>
      <c r="C19" t="s">
        <v>66</v>
      </c>
      <c r="D19" t="s">
        <v>13</v>
      </c>
      <c r="E19" t="s">
        <v>32</v>
      </c>
      <c r="F19" t="s">
        <v>28</v>
      </c>
      <c r="G19">
        <v>6</v>
      </c>
      <c r="H19" s="3">
        <v>29360</v>
      </c>
      <c r="I19" s="3">
        <v>176160</v>
      </c>
      <c r="J19" t="s">
        <v>22</v>
      </c>
      <c r="K19" t="s">
        <v>17</v>
      </c>
      <c r="L19" t="str">
        <f t="shared" si="0"/>
        <v>Vertex Retail</v>
      </c>
    </row>
    <row r="20" spans="1:12" x14ac:dyDescent="0.3">
      <c r="A20" t="s">
        <v>67</v>
      </c>
      <c r="B20" s="2">
        <v>45847</v>
      </c>
      <c r="C20" t="s">
        <v>60</v>
      </c>
      <c r="D20" t="s">
        <v>26</v>
      </c>
      <c r="E20" t="s">
        <v>14</v>
      </c>
      <c r="F20" t="s">
        <v>15</v>
      </c>
      <c r="G20">
        <v>1</v>
      </c>
      <c r="H20" s="3">
        <v>1760</v>
      </c>
      <c r="I20" s="3">
        <v>1760</v>
      </c>
      <c r="J20" t="s">
        <v>29</v>
      </c>
      <c r="K20" t="s">
        <v>17</v>
      </c>
      <c r="L20" t="str">
        <f t="shared" si="0"/>
        <v>Alpha Traders</v>
      </c>
    </row>
    <row r="21" spans="1:12" x14ac:dyDescent="0.3">
      <c r="A21" t="s">
        <v>68</v>
      </c>
      <c r="B21" s="2">
        <v>46016</v>
      </c>
      <c r="C21" t="s">
        <v>69</v>
      </c>
      <c r="D21" t="s">
        <v>20</v>
      </c>
      <c r="E21" t="s">
        <v>21</v>
      </c>
      <c r="F21" t="s">
        <v>15</v>
      </c>
      <c r="G21">
        <v>5</v>
      </c>
      <c r="H21" s="3">
        <v>950</v>
      </c>
      <c r="I21" s="3">
        <v>4750</v>
      </c>
      <c r="J21" t="s">
        <v>16</v>
      </c>
      <c r="K21" t="s">
        <v>56</v>
      </c>
      <c r="L21" t="str">
        <f t="shared" si="0"/>
        <v>Future Mart</v>
      </c>
    </row>
    <row r="22" spans="1:12" x14ac:dyDescent="0.3">
      <c r="A22" t="s">
        <v>70</v>
      </c>
      <c r="B22" s="2">
        <v>45809</v>
      </c>
      <c r="C22" t="s">
        <v>31</v>
      </c>
      <c r="D22" t="s">
        <v>53</v>
      </c>
      <c r="E22" t="s">
        <v>35</v>
      </c>
      <c r="F22" t="s">
        <v>36</v>
      </c>
      <c r="G22">
        <v>4</v>
      </c>
      <c r="H22" s="3">
        <v>12040</v>
      </c>
      <c r="I22" s="3">
        <v>48160</v>
      </c>
      <c r="J22" t="s">
        <v>22</v>
      </c>
      <c r="K22" t="s">
        <v>56</v>
      </c>
      <c r="L22" t="str">
        <f t="shared" si="0"/>
        <v>Orbit Retail</v>
      </c>
    </row>
    <row r="23" spans="1:12" x14ac:dyDescent="0.3">
      <c r="A23" t="s">
        <v>71</v>
      </c>
      <c r="B23" s="2">
        <v>45925</v>
      </c>
      <c r="C23" t="s">
        <v>12</v>
      </c>
      <c r="D23" t="s">
        <v>13</v>
      </c>
      <c r="E23" t="s">
        <v>21</v>
      </c>
      <c r="F23" t="s">
        <v>15</v>
      </c>
      <c r="G23">
        <v>1</v>
      </c>
      <c r="H23" s="3">
        <v>860</v>
      </c>
      <c r="I23" s="3">
        <v>860</v>
      </c>
      <c r="J23" t="s">
        <v>16</v>
      </c>
      <c r="K23" t="s">
        <v>56</v>
      </c>
      <c r="L23" t="str">
        <f t="shared" si="0"/>
        <v>Galaxy Tech</v>
      </c>
    </row>
    <row r="24" spans="1:12" x14ac:dyDescent="0.3">
      <c r="A24" t="s">
        <v>72</v>
      </c>
      <c r="B24" s="2">
        <v>45659</v>
      </c>
      <c r="C24" t="s">
        <v>19</v>
      </c>
      <c r="D24" t="s">
        <v>20</v>
      </c>
      <c r="E24" t="s">
        <v>64</v>
      </c>
      <c r="F24" t="s">
        <v>28</v>
      </c>
      <c r="G24">
        <v>10</v>
      </c>
      <c r="H24" s="3">
        <v>13960</v>
      </c>
      <c r="I24" s="3">
        <v>139600</v>
      </c>
      <c r="J24" t="s">
        <v>22</v>
      </c>
      <c r="K24" t="s">
        <v>50</v>
      </c>
      <c r="L24" t="str">
        <f t="shared" si="0"/>
        <v>Bright Solutions</v>
      </c>
    </row>
    <row r="25" spans="1:12" x14ac:dyDescent="0.3">
      <c r="A25" t="s">
        <v>73</v>
      </c>
      <c r="B25" s="2">
        <v>45710</v>
      </c>
      <c r="C25" t="s">
        <v>25</v>
      </c>
      <c r="D25" t="s">
        <v>13</v>
      </c>
      <c r="E25" t="s">
        <v>14</v>
      </c>
      <c r="F25" t="s">
        <v>15</v>
      </c>
      <c r="G25">
        <v>4</v>
      </c>
      <c r="H25" s="3">
        <v>1850</v>
      </c>
      <c r="I25" s="3">
        <v>7400</v>
      </c>
      <c r="J25" t="s">
        <v>22</v>
      </c>
      <c r="K25" t="s">
        <v>33</v>
      </c>
      <c r="L25" t="str">
        <f t="shared" si="0"/>
        <v>Lotus Enterprises</v>
      </c>
    </row>
    <row r="26" spans="1:12" x14ac:dyDescent="0.3">
      <c r="A26" t="s">
        <v>74</v>
      </c>
      <c r="B26" s="2">
        <v>45951</v>
      </c>
      <c r="C26" t="s">
        <v>75</v>
      </c>
      <c r="D26" t="s">
        <v>20</v>
      </c>
      <c r="E26" t="s">
        <v>27</v>
      </c>
      <c r="F26" t="s">
        <v>28</v>
      </c>
      <c r="G26">
        <v>2</v>
      </c>
      <c r="H26" s="3">
        <v>49850</v>
      </c>
      <c r="I26" s="3">
        <v>99700</v>
      </c>
      <c r="J26" t="s">
        <v>22</v>
      </c>
      <c r="K26" t="s">
        <v>23</v>
      </c>
      <c r="L26" t="str">
        <f t="shared" si="0"/>
        <v>Evergreen Stores</v>
      </c>
    </row>
    <row r="27" spans="1:12" x14ac:dyDescent="0.3">
      <c r="A27" t="s">
        <v>76</v>
      </c>
      <c r="B27" s="2">
        <v>45858</v>
      </c>
      <c r="C27" t="s">
        <v>69</v>
      </c>
      <c r="D27" t="s">
        <v>20</v>
      </c>
      <c r="E27" t="s">
        <v>21</v>
      </c>
      <c r="F27" t="s">
        <v>15</v>
      </c>
      <c r="G27">
        <v>5</v>
      </c>
      <c r="H27" s="3">
        <v>940</v>
      </c>
      <c r="I27" s="3">
        <v>4700</v>
      </c>
      <c r="J27" t="s">
        <v>377</v>
      </c>
      <c r="K27" t="s">
        <v>17</v>
      </c>
      <c r="L27" t="str">
        <f t="shared" si="0"/>
        <v>Future Mart</v>
      </c>
    </row>
    <row r="28" spans="1:12" x14ac:dyDescent="0.3">
      <c r="A28" t="s">
        <v>77</v>
      </c>
      <c r="B28" s="2">
        <v>45804</v>
      </c>
      <c r="C28" t="s">
        <v>66</v>
      </c>
      <c r="D28" t="s">
        <v>20</v>
      </c>
      <c r="E28" t="s">
        <v>32</v>
      </c>
      <c r="F28" t="s">
        <v>28</v>
      </c>
      <c r="G28">
        <v>4</v>
      </c>
      <c r="H28" s="3">
        <v>25830</v>
      </c>
      <c r="I28" s="3">
        <v>103320</v>
      </c>
      <c r="J28" t="s">
        <v>16</v>
      </c>
      <c r="K28" t="s">
        <v>33</v>
      </c>
      <c r="L28" t="str">
        <f t="shared" si="0"/>
        <v>Vertex Retail</v>
      </c>
    </row>
    <row r="29" spans="1:12" x14ac:dyDescent="0.3">
      <c r="A29" t="s">
        <v>78</v>
      </c>
      <c r="B29" s="2">
        <v>46017</v>
      </c>
      <c r="C29" t="s">
        <v>60</v>
      </c>
      <c r="D29" t="s">
        <v>53</v>
      </c>
      <c r="E29" t="s">
        <v>39</v>
      </c>
      <c r="F29" t="s">
        <v>15</v>
      </c>
      <c r="G29">
        <v>2</v>
      </c>
      <c r="H29" s="3">
        <v>3210</v>
      </c>
      <c r="I29" s="3">
        <v>6420</v>
      </c>
      <c r="J29" t="s">
        <v>29</v>
      </c>
      <c r="K29" t="s">
        <v>56</v>
      </c>
      <c r="L29" t="str">
        <f t="shared" si="0"/>
        <v>Alpha Traders</v>
      </c>
    </row>
    <row r="30" spans="1:12" x14ac:dyDescent="0.3">
      <c r="A30" t="s">
        <v>79</v>
      </c>
      <c r="B30" s="2">
        <v>45920</v>
      </c>
      <c r="C30" t="s">
        <v>80</v>
      </c>
      <c r="D30" t="s">
        <v>13</v>
      </c>
      <c r="E30" t="s">
        <v>64</v>
      </c>
      <c r="F30" t="s">
        <v>28</v>
      </c>
      <c r="G30">
        <v>3</v>
      </c>
      <c r="H30" s="3">
        <v>14950</v>
      </c>
      <c r="I30" s="3">
        <v>44850</v>
      </c>
      <c r="J30" t="s">
        <v>29</v>
      </c>
      <c r="K30" t="s">
        <v>33</v>
      </c>
      <c r="L30" t="str">
        <f t="shared" si="0"/>
        <v>Prime Distributors</v>
      </c>
    </row>
    <row r="31" spans="1:12" x14ac:dyDescent="0.3">
      <c r="A31" t="s">
        <v>81</v>
      </c>
      <c r="B31" s="2">
        <v>45797</v>
      </c>
      <c r="C31" t="s">
        <v>75</v>
      </c>
      <c r="D31" t="s">
        <v>26</v>
      </c>
      <c r="E31" t="s">
        <v>35</v>
      </c>
      <c r="F31" t="s">
        <v>36</v>
      </c>
      <c r="G31">
        <v>2</v>
      </c>
      <c r="H31" s="3">
        <v>11690</v>
      </c>
      <c r="I31" s="3">
        <v>23380</v>
      </c>
      <c r="J31" t="s">
        <v>16</v>
      </c>
      <c r="K31" t="s">
        <v>56</v>
      </c>
      <c r="L31" t="str">
        <f t="shared" si="0"/>
        <v>Evergreen Stores</v>
      </c>
    </row>
    <row r="32" spans="1:12" x14ac:dyDescent="0.3">
      <c r="A32" t="s">
        <v>82</v>
      </c>
      <c r="B32" s="2">
        <v>45809</v>
      </c>
      <c r="C32" t="s">
        <v>60</v>
      </c>
      <c r="D32" t="s">
        <v>20</v>
      </c>
      <c r="E32" t="s">
        <v>14</v>
      </c>
      <c r="F32" t="s">
        <v>15</v>
      </c>
      <c r="G32">
        <v>4</v>
      </c>
      <c r="H32" s="3">
        <v>1900</v>
      </c>
      <c r="I32" s="3">
        <v>7600</v>
      </c>
      <c r="J32" t="s">
        <v>16</v>
      </c>
      <c r="K32" t="s">
        <v>56</v>
      </c>
      <c r="L32" t="str">
        <f t="shared" si="0"/>
        <v>Alpha Traders</v>
      </c>
    </row>
    <row r="33" spans="1:12" x14ac:dyDescent="0.3">
      <c r="A33" t="s">
        <v>83</v>
      </c>
      <c r="B33" s="2">
        <v>45884</v>
      </c>
      <c r="C33" t="s">
        <v>80</v>
      </c>
      <c r="D33" t="s">
        <v>13</v>
      </c>
      <c r="E33" t="s">
        <v>64</v>
      </c>
      <c r="F33" t="s">
        <v>28</v>
      </c>
      <c r="G33">
        <v>6</v>
      </c>
      <c r="H33" s="3">
        <v>14750</v>
      </c>
      <c r="I33" s="3">
        <v>88500</v>
      </c>
      <c r="J33" t="s">
        <v>29</v>
      </c>
      <c r="K33" t="s">
        <v>17</v>
      </c>
      <c r="L33" t="str">
        <f t="shared" si="0"/>
        <v>Prime Distributors</v>
      </c>
    </row>
    <row r="34" spans="1:12" x14ac:dyDescent="0.3">
      <c r="A34" t="s">
        <v>84</v>
      </c>
      <c r="B34" s="2">
        <v>45851</v>
      </c>
      <c r="C34" t="s">
        <v>85</v>
      </c>
      <c r="D34" t="s">
        <v>20</v>
      </c>
      <c r="E34" t="s">
        <v>39</v>
      </c>
      <c r="F34" t="s">
        <v>15</v>
      </c>
      <c r="G34">
        <v>2</v>
      </c>
      <c r="H34" s="3">
        <v>3100</v>
      </c>
      <c r="I34" s="3">
        <v>6200</v>
      </c>
      <c r="J34" t="s">
        <v>29</v>
      </c>
      <c r="K34" t="s">
        <v>56</v>
      </c>
      <c r="L34" t="str">
        <f t="shared" si="0"/>
        <v>Crest Retail</v>
      </c>
    </row>
    <row r="35" spans="1:12" x14ac:dyDescent="0.3">
      <c r="A35" t="s">
        <v>86</v>
      </c>
      <c r="B35" s="2">
        <v>45961</v>
      </c>
      <c r="C35" t="s">
        <v>87</v>
      </c>
      <c r="D35" t="s">
        <v>20</v>
      </c>
      <c r="E35" t="s">
        <v>64</v>
      </c>
      <c r="F35" t="s">
        <v>28</v>
      </c>
      <c r="G35">
        <v>1</v>
      </c>
      <c r="H35" s="3">
        <v>14490</v>
      </c>
      <c r="I35" s="3">
        <v>14490</v>
      </c>
      <c r="J35" t="s">
        <v>16</v>
      </c>
      <c r="K35" t="s">
        <v>17</v>
      </c>
      <c r="L35" t="str">
        <f t="shared" si="0"/>
        <v>Vertex Retail</v>
      </c>
    </row>
    <row r="36" spans="1:12" x14ac:dyDescent="0.3">
      <c r="A36" t="s">
        <v>88</v>
      </c>
      <c r="B36" s="2">
        <v>45679</v>
      </c>
      <c r="C36" t="s">
        <v>89</v>
      </c>
      <c r="D36" t="s">
        <v>13</v>
      </c>
      <c r="E36" t="s">
        <v>32</v>
      </c>
      <c r="F36" t="s">
        <v>28</v>
      </c>
      <c r="G36">
        <v>3</v>
      </c>
      <c r="H36" s="3">
        <v>26180</v>
      </c>
      <c r="I36" s="3">
        <v>78540</v>
      </c>
      <c r="J36" t="s">
        <v>22</v>
      </c>
      <c r="K36" t="s">
        <v>23</v>
      </c>
      <c r="L36" t="str">
        <f t="shared" si="0"/>
        <v>Nova Solutions</v>
      </c>
    </row>
    <row r="37" spans="1:12" x14ac:dyDescent="0.3">
      <c r="A37" t="s">
        <v>90</v>
      </c>
      <c r="B37" s="2">
        <v>45883</v>
      </c>
      <c r="C37" t="s">
        <v>60</v>
      </c>
      <c r="D37" t="s">
        <v>20</v>
      </c>
      <c r="E37" t="s">
        <v>21</v>
      </c>
      <c r="F37" t="s">
        <v>15</v>
      </c>
      <c r="G37">
        <v>6</v>
      </c>
      <c r="H37" s="3">
        <v>920</v>
      </c>
      <c r="I37" s="3">
        <v>5520</v>
      </c>
      <c r="J37" t="s">
        <v>16</v>
      </c>
      <c r="K37" t="s">
        <v>56</v>
      </c>
      <c r="L37" t="str">
        <f t="shared" si="0"/>
        <v>Alpha Traders</v>
      </c>
    </row>
    <row r="38" spans="1:12" x14ac:dyDescent="0.3">
      <c r="A38" t="s">
        <v>91</v>
      </c>
      <c r="B38" s="2">
        <v>45692</v>
      </c>
      <c r="C38" t="s">
        <v>41</v>
      </c>
      <c r="D38" t="s">
        <v>20</v>
      </c>
      <c r="E38" t="s">
        <v>64</v>
      </c>
      <c r="F38" t="s">
        <v>28</v>
      </c>
      <c r="G38">
        <v>4</v>
      </c>
      <c r="H38" s="3">
        <v>13990</v>
      </c>
      <c r="I38" s="3">
        <v>55960</v>
      </c>
      <c r="J38" t="s">
        <v>29</v>
      </c>
      <c r="K38" t="s">
        <v>33</v>
      </c>
      <c r="L38" t="str">
        <f t="shared" si="0"/>
        <v>QuickBuy Pvt Ltd</v>
      </c>
    </row>
    <row r="39" spans="1:12" x14ac:dyDescent="0.3">
      <c r="A39" t="s">
        <v>92</v>
      </c>
      <c r="B39" s="2">
        <v>45756</v>
      </c>
      <c r="C39" t="s">
        <v>93</v>
      </c>
      <c r="D39" t="s">
        <v>26</v>
      </c>
      <c r="E39" t="s">
        <v>39</v>
      </c>
      <c r="F39" t="s">
        <v>15</v>
      </c>
      <c r="G39">
        <v>8</v>
      </c>
      <c r="H39" s="3">
        <v>3410</v>
      </c>
      <c r="I39" s="3">
        <v>27280</v>
      </c>
      <c r="J39" t="s">
        <v>29</v>
      </c>
      <c r="K39" t="s">
        <v>56</v>
      </c>
      <c r="L39" t="str">
        <f t="shared" si="0"/>
        <v>Iconic Retail</v>
      </c>
    </row>
    <row r="40" spans="1:12" x14ac:dyDescent="0.3">
      <c r="A40" t="s">
        <v>94</v>
      </c>
      <c r="B40" s="2">
        <v>45773</v>
      </c>
      <c r="C40" t="s">
        <v>60</v>
      </c>
      <c r="D40" t="s">
        <v>20</v>
      </c>
      <c r="E40" t="s">
        <v>35</v>
      </c>
      <c r="F40" t="s">
        <v>36</v>
      </c>
      <c r="G40">
        <v>3</v>
      </c>
      <c r="H40" s="3">
        <v>13460</v>
      </c>
      <c r="I40" s="3">
        <v>40380</v>
      </c>
      <c r="J40" t="s">
        <v>16</v>
      </c>
      <c r="K40" t="s">
        <v>37</v>
      </c>
      <c r="L40" t="str">
        <f t="shared" si="0"/>
        <v>Alpha Traders</v>
      </c>
    </row>
    <row r="41" spans="1:12" x14ac:dyDescent="0.3">
      <c r="A41" t="s">
        <v>95</v>
      </c>
      <c r="B41" s="2">
        <v>46017</v>
      </c>
      <c r="C41" t="s">
        <v>89</v>
      </c>
      <c r="D41" t="s">
        <v>20</v>
      </c>
      <c r="E41" t="s">
        <v>35</v>
      </c>
      <c r="F41" t="s">
        <v>36</v>
      </c>
      <c r="G41">
        <v>8</v>
      </c>
      <c r="H41" s="3">
        <v>12890</v>
      </c>
      <c r="I41" s="3">
        <v>103120</v>
      </c>
      <c r="J41" t="s">
        <v>22</v>
      </c>
      <c r="K41" t="s">
        <v>23</v>
      </c>
      <c r="L41" t="str">
        <f t="shared" si="0"/>
        <v>Nova Solutions</v>
      </c>
    </row>
    <row r="42" spans="1:12" x14ac:dyDescent="0.3">
      <c r="A42" t="s">
        <v>96</v>
      </c>
      <c r="B42" s="2">
        <v>45930</v>
      </c>
      <c r="C42" t="s">
        <v>45</v>
      </c>
      <c r="D42" t="s">
        <v>26</v>
      </c>
      <c r="E42" t="s">
        <v>14</v>
      </c>
      <c r="F42" t="s">
        <v>15</v>
      </c>
      <c r="G42">
        <v>2</v>
      </c>
      <c r="H42" s="3">
        <v>1740</v>
      </c>
      <c r="I42" s="3">
        <v>3480</v>
      </c>
      <c r="J42" t="s">
        <v>29</v>
      </c>
      <c r="K42" t="s">
        <v>17</v>
      </c>
      <c r="L42" t="str">
        <f t="shared" si="0"/>
        <v>Horizon Distributors</v>
      </c>
    </row>
    <row r="43" spans="1:12" x14ac:dyDescent="0.3">
      <c r="A43" t="s">
        <v>97</v>
      </c>
      <c r="B43" s="2">
        <v>45683</v>
      </c>
      <c r="C43" t="s">
        <v>85</v>
      </c>
      <c r="D43" t="s">
        <v>13</v>
      </c>
      <c r="E43" t="s">
        <v>98</v>
      </c>
      <c r="F43" t="s">
        <v>15</v>
      </c>
      <c r="G43">
        <v>3</v>
      </c>
      <c r="H43" s="3">
        <v>2130</v>
      </c>
      <c r="I43" s="3">
        <v>6390</v>
      </c>
      <c r="J43" t="s">
        <v>29</v>
      </c>
      <c r="K43" t="s">
        <v>50</v>
      </c>
      <c r="L43" t="str">
        <f t="shared" si="0"/>
        <v>Crest Retail</v>
      </c>
    </row>
    <row r="44" spans="1:12" x14ac:dyDescent="0.3">
      <c r="A44" t="s">
        <v>99</v>
      </c>
      <c r="B44" s="2">
        <v>45677</v>
      </c>
      <c r="C44" t="s">
        <v>60</v>
      </c>
      <c r="D44" t="s">
        <v>20</v>
      </c>
      <c r="E44" t="s">
        <v>27</v>
      </c>
      <c r="F44" t="s">
        <v>28</v>
      </c>
      <c r="G44">
        <v>1</v>
      </c>
      <c r="H44" s="3">
        <v>53060</v>
      </c>
      <c r="I44" s="3">
        <v>53060</v>
      </c>
      <c r="J44" t="s">
        <v>22</v>
      </c>
      <c r="K44" t="s">
        <v>23</v>
      </c>
      <c r="L44" t="str">
        <f t="shared" si="0"/>
        <v>Alpha Traders</v>
      </c>
    </row>
    <row r="45" spans="1:12" x14ac:dyDescent="0.3">
      <c r="A45" t="s">
        <v>100</v>
      </c>
      <c r="B45" s="2">
        <v>45979</v>
      </c>
      <c r="C45" t="s">
        <v>101</v>
      </c>
      <c r="D45" t="s">
        <v>26</v>
      </c>
      <c r="E45" t="s">
        <v>46</v>
      </c>
      <c r="F45" t="s">
        <v>47</v>
      </c>
      <c r="G45">
        <v>2</v>
      </c>
      <c r="H45" s="3">
        <v>11760</v>
      </c>
      <c r="I45" s="3">
        <v>23520</v>
      </c>
      <c r="J45" t="s">
        <v>22</v>
      </c>
      <c r="K45" t="s">
        <v>23</v>
      </c>
      <c r="L45" t="str">
        <f t="shared" si="0"/>
        <v>Sunrise Enterprises</v>
      </c>
    </row>
    <row r="46" spans="1:12" x14ac:dyDescent="0.3">
      <c r="A46" t="s">
        <v>102</v>
      </c>
      <c r="B46" s="2">
        <v>45837</v>
      </c>
      <c r="C46" t="s">
        <v>103</v>
      </c>
      <c r="D46" t="s">
        <v>13</v>
      </c>
      <c r="E46" t="s">
        <v>14</v>
      </c>
      <c r="F46" t="s">
        <v>15</v>
      </c>
      <c r="G46">
        <v>4</v>
      </c>
      <c r="H46" s="3">
        <v>1660</v>
      </c>
      <c r="I46" s="3">
        <v>6640</v>
      </c>
      <c r="J46" t="s">
        <v>16</v>
      </c>
      <c r="K46" t="s">
        <v>23</v>
      </c>
      <c r="L46" t="str">
        <f t="shared" si="0"/>
        <v>Jupiter Systems</v>
      </c>
    </row>
    <row r="47" spans="1:12" x14ac:dyDescent="0.3">
      <c r="A47" t="s">
        <v>104</v>
      </c>
      <c r="B47" s="2">
        <v>45717</v>
      </c>
      <c r="C47" t="s">
        <v>25</v>
      </c>
      <c r="D47" t="s">
        <v>20</v>
      </c>
      <c r="E47" t="s">
        <v>35</v>
      </c>
      <c r="F47" t="s">
        <v>36</v>
      </c>
      <c r="G47">
        <v>2</v>
      </c>
      <c r="H47" s="3">
        <v>13160</v>
      </c>
      <c r="I47" s="3">
        <v>26320</v>
      </c>
      <c r="J47" t="s">
        <v>29</v>
      </c>
      <c r="K47" t="s">
        <v>33</v>
      </c>
      <c r="L47" t="str">
        <f t="shared" si="0"/>
        <v>Lotus Enterprises</v>
      </c>
    </row>
    <row r="48" spans="1:12" x14ac:dyDescent="0.3">
      <c r="A48" t="s">
        <v>105</v>
      </c>
      <c r="B48" s="2">
        <v>46012</v>
      </c>
      <c r="C48" t="s">
        <v>45</v>
      </c>
      <c r="D48" t="s">
        <v>20</v>
      </c>
      <c r="E48" t="s">
        <v>46</v>
      </c>
      <c r="F48" t="s">
        <v>47</v>
      </c>
      <c r="G48">
        <v>2</v>
      </c>
      <c r="H48" s="3">
        <v>11830</v>
      </c>
      <c r="I48" s="3">
        <v>23660</v>
      </c>
      <c r="J48" t="s">
        <v>29</v>
      </c>
      <c r="K48" t="s">
        <v>37</v>
      </c>
      <c r="L48" t="str">
        <f t="shared" si="0"/>
        <v>Horizon Distributors</v>
      </c>
    </row>
    <row r="49" spans="1:12" x14ac:dyDescent="0.3">
      <c r="A49" t="s">
        <v>106</v>
      </c>
      <c r="B49" s="2">
        <v>45976</v>
      </c>
      <c r="C49" t="s">
        <v>101</v>
      </c>
      <c r="D49" t="s">
        <v>26</v>
      </c>
      <c r="E49" t="s">
        <v>35</v>
      </c>
      <c r="F49" t="s">
        <v>36</v>
      </c>
      <c r="G49">
        <v>2</v>
      </c>
      <c r="H49" s="3">
        <v>13090</v>
      </c>
      <c r="I49" s="3">
        <v>26180</v>
      </c>
      <c r="J49" t="s">
        <v>22</v>
      </c>
      <c r="K49" t="s">
        <v>37</v>
      </c>
      <c r="L49" t="str">
        <f t="shared" si="0"/>
        <v>Sunrise Enterprises</v>
      </c>
    </row>
    <row r="50" spans="1:12" x14ac:dyDescent="0.3">
      <c r="A50" t="s">
        <v>108</v>
      </c>
      <c r="B50" s="2">
        <v>45786</v>
      </c>
      <c r="C50" t="s">
        <v>60</v>
      </c>
      <c r="D50" t="s">
        <v>53</v>
      </c>
      <c r="E50" t="s">
        <v>27</v>
      </c>
      <c r="F50" t="s">
        <v>28</v>
      </c>
      <c r="G50">
        <v>10</v>
      </c>
      <c r="H50" s="3">
        <v>54800</v>
      </c>
      <c r="I50" s="3">
        <v>548000</v>
      </c>
      <c r="J50" t="s">
        <v>22</v>
      </c>
      <c r="K50" t="s">
        <v>23</v>
      </c>
      <c r="L50" t="str">
        <f t="shared" si="0"/>
        <v>Alpha Traders</v>
      </c>
    </row>
    <row r="51" spans="1:12" x14ac:dyDescent="0.3">
      <c r="A51" t="s">
        <v>109</v>
      </c>
      <c r="B51" s="2">
        <v>45929</v>
      </c>
      <c r="C51" t="s">
        <v>12</v>
      </c>
      <c r="D51" t="s">
        <v>20</v>
      </c>
      <c r="E51" t="s">
        <v>27</v>
      </c>
      <c r="F51" t="s">
        <v>28</v>
      </c>
      <c r="G51">
        <v>2</v>
      </c>
      <c r="H51" s="3">
        <v>55620</v>
      </c>
      <c r="I51" s="3">
        <v>111240</v>
      </c>
      <c r="J51" t="s">
        <v>16</v>
      </c>
      <c r="K51" t="s">
        <v>50</v>
      </c>
      <c r="L51" t="str">
        <f t="shared" si="0"/>
        <v>Galaxy Tech</v>
      </c>
    </row>
    <row r="52" spans="1:12" x14ac:dyDescent="0.3">
      <c r="A52" t="s">
        <v>110</v>
      </c>
      <c r="B52" s="2">
        <v>45801</v>
      </c>
      <c r="C52" t="s">
        <v>101</v>
      </c>
      <c r="D52" t="s">
        <v>26</v>
      </c>
      <c r="E52" t="s">
        <v>32</v>
      </c>
      <c r="F52" t="s">
        <v>28</v>
      </c>
      <c r="G52">
        <v>3</v>
      </c>
      <c r="H52" s="3">
        <v>26870</v>
      </c>
      <c r="I52" s="3">
        <v>80610</v>
      </c>
      <c r="J52" t="s">
        <v>22</v>
      </c>
      <c r="K52" t="s">
        <v>56</v>
      </c>
      <c r="L52" t="str">
        <f t="shared" si="0"/>
        <v>Sunrise Enterprises</v>
      </c>
    </row>
    <row r="53" spans="1:12" x14ac:dyDescent="0.3">
      <c r="A53" t="s">
        <v>111</v>
      </c>
      <c r="B53" s="2">
        <v>45751</v>
      </c>
      <c r="C53" t="s">
        <v>89</v>
      </c>
      <c r="D53" t="s">
        <v>13</v>
      </c>
      <c r="E53" t="s">
        <v>14</v>
      </c>
      <c r="F53" t="s">
        <v>15</v>
      </c>
      <c r="G53">
        <v>1</v>
      </c>
      <c r="H53" s="3">
        <v>1680</v>
      </c>
      <c r="I53" s="3">
        <v>1680</v>
      </c>
      <c r="J53" t="s">
        <v>29</v>
      </c>
      <c r="K53" t="s">
        <v>33</v>
      </c>
      <c r="L53" t="str">
        <f t="shared" si="0"/>
        <v>Nova Solutions</v>
      </c>
    </row>
    <row r="54" spans="1:12" x14ac:dyDescent="0.3">
      <c r="A54" t="s">
        <v>112</v>
      </c>
      <c r="B54" s="2">
        <v>45757</v>
      </c>
      <c r="C54" t="s">
        <v>60</v>
      </c>
      <c r="D54" t="s">
        <v>13</v>
      </c>
      <c r="E54" t="s">
        <v>27</v>
      </c>
      <c r="F54" t="s">
        <v>28</v>
      </c>
      <c r="G54">
        <v>5</v>
      </c>
      <c r="H54" s="3">
        <v>54550</v>
      </c>
      <c r="I54" s="3">
        <v>272750</v>
      </c>
      <c r="J54" t="s">
        <v>22</v>
      </c>
      <c r="K54" t="s">
        <v>50</v>
      </c>
      <c r="L54" t="str">
        <f t="shared" si="0"/>
        <v>Alpha Traders</v>
      </c>
    </row>
    <row r="55" spans="1:12" x14ac:dyDescent="0.3">
      <c r="A55" t="s">
        <v>113</v>
      </c>
      <c r="B55" s="2">
        <v>45947</v>
      </c>
      <c r="C55" t="s">
        <v>66</v>
      </c>
      <c r="D55" t="s">
        <v>53</v>
      </c>
      <c r="E55" t="s">
        <v>21</v>
      </c>
      <c r="F55" t="s">
        <v>15</v>
      </c>
      <c r="G55">
        <v>4</v>
      </c>
      <c r="H55" s="3">
        <v>920</v>
      </c>
      <c r="I55" s="3">
        <v>3680</v>
      </c>
      <c r="J55" t="s">
        <v>22</v>
      </c>
      <c r="K55" t="s">
        <v>37</v>
      </c>
      <c r="L55" t="str">
        <f t="shared" si="0"/>
        <v>Vertex Retail</v>
      </c>
    </row>
    <row r="56" spans="1:12" x14ac:dyDescent="0.3">
      <c r="A56" t="s">
        <v>114</v>
      </c>
      <c r="B56" s="2">
        <v>45661</v>
      </c>
      <c r="C56" t="s">
        <v>80</v>
      </c>
      <c r="D56" t="s">
        <v>20</v>
      </c>
      <c r="E56" t="s">
        <v>39</v>
      </c>
      <c r="F56" t="s">
        <v>15</v>
      </c>
      <c r="G56">
        <v>3</v>
      </c>
      <c r="H56" s="3">
        <v>3220</v>
      </c>
      <c r="I56" s="3">
        <v>9660</v>
      </c>
      <c r="J56" t="s">
        <v>16</v>
      </c>
      <c r="K56" t="s">
        <v>37</v>
      </c>
      <c r="L56" t="str">
        <f t="shared" si="0"/>
        <v>Prime Distributors</v>
      </c>
    </row>
    <row r="57" spans="1:12" x14ac:dyDescent="0.3">
      <c r="A57" t="s">
        <v>115</v>
      </c>
      <c r="B57" s="2">
        <v>45809</v>
      </c>
      <c r="C57" t="s">
        <v>25</v>
      </c>
      <c r="D57" t="s">
        <v>13</v>
      </c>
      <c r="E57" t="s">
        <v>27</v>
      </c>
      <c r="F57" t="s">
        <v>28</v>
      </c>
      <c r="G57">
        <v>4</v>
      </c>
      <c r="H57" s="3">
        <v>55660</v>
      </c>
      <c r="I57" s="3">
        <v>222640</v>
      </c>
      <c r="J57" t="s">
        <v>16</v>
      </c>
      <c r="K57" t="s">
        <v>33</v>
      </c>
      <c r="L57" t="str">
        <f t="shared" si="0"/>
        <v>Lotus Enterprises</v>
      </c>
    </row>
    <row r="58" spans="1:12" x14ac:dyDescent="0.3">
      <c r="A58" t="s">
        <v>116</v>
      </c>
      <c r="B58" s="2">
        <v>45925</v>
      </c>
      <c r="C58" t="s">
        <v>85</v>
      </c>
      <c r="D58" t="s">
        <v>26</v>
      </c>
      <c r="E58" t="s">
        <v>27</v>
      </c>
      <c r="F58" t="s">
        <v>28</v>
      </c>
      <c r="G58">
        <v>5</v>
      </c>
      <c r="H58" s="3">
        <v>54670</v>
      </c>
      <c r="I58" s="3">
        <v>273350</v>
      </c>
      <c r="J58" t="s">
        <v>29</v>
      </c>
      <c r="K58" t="s">
        <v>37</v>
      </c>
      <c r="L58" t="str">
        <f t="shared" si="0"/>
        <v>Crest Retail</v>
      </c>
    </row>
    <row r="59" spans="1:12" x14ac:dyDescent="0.3">
      <c r="A59" t="s">
        <v>117</v>
      </c>
      <c r="B59" s="2">
        <v>45959</v>
      </c>
      <c r="C59" t="s">
        <v>19</v>
      </c>
      <c r="D59" t="s">
        <v>26</v>
      </c>
      <c r="E59" t="s">
        <v>64</v>
      </c>
      <c r="F59" t="s">
        <v>28</v>
      </c>
      <c r="G59">
        <v>2</v>
      </c>
      <c r="H59" s="3">
        <v>13840</v>
      </c>
      <c r="I59" s="3">
        <v>27680</v>
      </c>
      <c r="J59" t="s">
        <v>16</v>
      </c>
      <c r="K59" t="s">
        <v>37</v>
      </c>
      <c r="L59" t="str">
        <f t="shared" si="0"/>
        <v>Bright Solutions</v>
      </c>
    </row>
    <row r="60" spans="1:12" x14ac:dyDescent="0.3">
      <c r="A60" t="s">
        <v>118</v>
      </c>
      <c r="B60" s="2">
        <v>45747</v>
      </c>
      <c r="C60" t="s">
        <v>19</v>
      </c>
      <c r="D60" t="s">
        <v>53</v>
      </c>
      <c r="E60" t="s">
        <v>98</v>
      </c>
      <c r="F60" t="s">
        <v>15</v>
      </c>
      <c r="G60">
        <v>1</v>
      </c>
      <c r="H60" s="3">
        <v>2140</v>
      </c>
      <c r="I60" s="3">
        <v>2140</v>
      </c>
      <c r="J60" t="s">
        <v>29</v>
      </c>
      <c r="K60" t="s">
        <v>33</v>
      </c>
      <c r="L60" t="str">
        <f t="shared" si="0"/>
        <v>Bright Solutions</v>
      </c>
    </row>
    <row r="61" spans="1:12" x14ac:dyDescent="0.3">
      <c r="A61" t="s">
        <v>119</v>
      </c>
      <c r="B61" s="2">
        <v>45874</v>
      </c>
      <c r="C61" t="s">
        <v>120</v>
      </c>
      <c r="D61" t="s">
        <v>13</v>
      </c>
      <c r="E61" t="s">
        <v>98</v>
      </c>
      <c r="F61" t="s">
        <v>15</v>
      </c>
      <c r="G61">
        <v>2</v>
      </c>
      <c r="H61" s="3">
        <v>2350</v>
      </c>
      <c r="I61" s="3">
        <v>4700</v>
      </c>
      <c r="J61" t="s">
        <v>29</v>
      </c>
      <c r="K61" t="s">
        <v>56</v>
      </c>
      <c r="L61" t="str">
        <f t="shared" si="0"/>
        <v>Delta Enterprises</v>
      </c>
    </row>
    <row r="62" spans="1:12" x14ac:dyDescent="0.3">
      <c r="A62" t="s">
        <v>121</v>
      </c>
      <c r="B62" s="2">
        <v>45693</v>
      </c>
      <c r="C62" t="s">
        <v>43</v>
      </c>
      <c r="D62" t="s">
        <v>26</v>
      </c>
      <c r="E62" t="s">
        <v>32</v>
      </c>
      <c r="F62" t="s">
        <v>28</v>
      </c>
      <c r="G62">
        <v>3</v>
      </c>
      <c r="H62" s="3">
        <v>29040</v>
      </c>
      <c r="I62" s="3">
        <v>87120</v>
      </c>
      <c r="J62" t="s">
        <v>16</v>
      </c>
      <c r="K62" t="s">
        <v>23</v>
      </c>
      <c r="L62" t="str">
        <f t="shared" si="0"/>
        <v>Royal Traders</v>
      </c>
    </row>
    <row r="63" spans="1:12" x14ac:dyDescent="0.3">
      <c r="A63" t="s">
        <v>122</v>
      </c>
      <c r="B63" s="2">
        <v>45936</v>
      </c>
      <c r="C63" t="s">
        <v>85</v>
      </c>
      <c r="D63" t="s">
        <v>26</v>
      </c>
      <c r="E63" t="s">
        <v>32</v>
      </c>
      <c r="F63" t="s">
        <v>28</v>
      </c>
      <c r="G63">
        <v>2</v>
      </c>
      <c r="H63" s="3">
        <v>28810</v>
      </c>
      <c r="I63" s="3">
        <v>57620</v>
      </c>
      <c r="J63" t="s">
        <v>22</v>
      </c>
      <c r="K63" t="s">
        <v>56</v>
      </c>
      <c r="L63" t="str">
        <f t="shared" si="0"/>
        <v>Crest Retail</v>
      </c>
    </row>
    <row r="64" spans="1:12" x14ac:dyDescent="0.3">
      <c r="A64" t="s">
        <v>123</v>
      </c>
      <c r="B64" s="2">
        <v>45844</v>
      </c>
      <c r="C64" t="s">
        <v>101</v>
      </c>
      <c r="D64" t="s">
        <v>26</v>
      </c>
      <c r="E64" t="s">
        <v>35</v>
      </c>
      <c r="F64" t="s">
        <v>36</v>
      </c>
      <c r="G64">
        <v>3</v>
      </c>
      <c r="H64" s="3">
        <v>12280</v>
      </c>
      <c r="I64" s="3">
        <v>36840</v>
      </c>
      <c r="J64" t="s">
        <v>29</v>
      </c>
      <c r="K64" t="s">
        <v>56</v>
      </c>
      <c r="L64" t="str">
        <f t="shared" si="0"/>
        <v>Sunrise Enterprises</v>
      </c>
    </row>
    <row r="65" spans="1:12" x14ac:dyDescent="0.3">
      <c r="A65" t="s">
        <v>124</v>
      </c>
      <c r="B65" s="2">
        <v>45880</v>
      </c>
      <c r="C65" t="s">
        <v>66</v>
      </c>
      <c r="D65" t="s">
        <v>53</v>
      </c>
      <c r="E65" t="s">
        <v>46</v>
      </c>
      <c r="F65" t="s">
        <v>47</v>
      </c>
      <c r="G65">
        <v>2</v>
      </c>
      <c r="H65" s="3">
        <v>12880</v>
      </c>
      <c r="I65" s="3">
        <v>25760</v>
      </c>
      <c r="J65" t="s">
        <v>22</v>
      </c>
      <c r="K65" t="s">
        <v>50</v>
      </c>
      <c r="L65" t="str">
        <f t="shared" si="0"/>
        <v>Vertex Retail</v>
      </c>
    </row>
    <row r="66" spans="1:12" x14ac:dyDescent="0.3">
      <c r="A66" t="s">
        <v>125</v>
      </c>
      <c r="B66" s="2">
        <v>45710</v>
      </c>
      <c r="C66" t="s">
        <v>80</v>
      </c>
      <c r="D66" t="s">
        <v>26</v>
      </c>
      <c r="E66" t="s">
        <v>27</v>
      </c>
      <c r="F66" t="s">
        <v>28</v>
      </c>
      <c r="G66">
        <v>4</v>
      </c>
      <c r="H66" s="3">
        <v>52450</v>
      </c>
      <c r="I66" s="3">
        <v>209800</v>
      </c>
      <c r="J66" t="s">
        <v>16</v>
      </c>
      <c r="K66" t="s">
        <v>50</v>
      </c>
      <c r="L66" t="str">
        <f t="shared" si="0"/>
        <v>Prime Distributors</v>
      </c>
    </row>
    <row r="67" spans="1:12" x14ac:dyDescent="0.3">
      <c r="A67" t="s">
        <v>126</v>
      </c>
      <c r="B67" s="2">
        <v>45779</v>
      </c>
      <c r="C67" t="s">
        <v>75</v>
      </c>
      <c r="D67" t="s">
        <v>53</v>
      </c>
      <c r="E67" t="s">
        <v>39</v>
      </c>
      <c r="F67" t="s">
        <v>15</v>
      </c>
      <c r="G67">
        <v>10</v>
      </c>
      <c r="H67" s="3">
        <v>3450</v>
      </c>
      <c r="I67" s="3">
        <v>34500</v>
      </c>
      <c r="J67" t="s">
        <v>16</v>
      </c>
      <c r="K67" t="s">
        <v>50</v>
      </c>
      <c r="L67" t="str">
        <f t="shared" ref="L67:L130" si="1">TRIM(C67)</f>
        <v>Evergreen Stores</v>
      </c>
    </row>
    <row r="68" spans="1:12" x14ac:dyDescent="0.3">
      <c r="A68" t="s">
        <v>127</v>
      </c>
      <c r="B68" s="2">
        <v>45731</v>
      </c>
      <c r="C68" t="s">
        <v>25</v>
      </c>
      <c r="D68" t="s">
        <v>26</v>
      </c>
      <c r="E68" t="s">
        <v>14</v>
      </c>
      <c r="F68" t="s">
        <v>15</v>
      </c>
      <c r="G68">
        <v>1</v>
      </c>
      <c r="H68" s="3">
        <v>1700</v>
      </c>
      <c r="I68" s="3">
        <v>1700</v>
      </c>
      <c r="J68" t="s">
        <v>29</v>
      </c>
      <c r="K68" t="s">
        <v>23</v>
      </c>
      <c r="L68" t="str">
        <f t="shared" si="1"/>
        <v>Lotus Enterprises</v>
      </c>
    </row>
    <row r="69" spans="1:12" x14ac:dyDescent="0.3">
      <c r="A69" t="s">
        <v>128</v>
      </c>
      <c r="B69" s="2">
        <v>45940</v>
      </c>
      <c r="C69" t="s">
        <v>19</v>
      </c>
      <c r="D69" t="s">
        <v>26</v>
      </c>
      <c r="E69" t="s">
        <v>27</v>
      </c>
      <c r="F69" t="s">
        <v>28</v>
      </c>
      <c r="G69">
        <v>4</v>
      </c>
      <c r="H69" s="3">
        <v>48450</v>
      </c>
      <c r="I69" s="3">
        <v>193800</v>
      </c>
      <c r="J69" t="s">
        <v>29</v>
      </c>
      <c r="K69" t="s">
        <v>50</v>
      </c>
      <c r="L69" t="str">
        <f t="shared" si="1"/>
        <v>Bright Solutions</v>
      </c>
    </row>
    <row r="70" spans="1:12" x14ac:dyDescent="0.3">
      <c r="A70" t="s">
        <v>129</v>
      </c>
      <c r="B70" s="2">
        <v>45999</v>
      </c>
      <c r="C70" t="s">
        <v>66</v>
      </c>
      <c r="D70" t="s">
        <v>26</v>
      </c>
      <c r="E70" t="s">
        <v>64</v>
      </c>
      <c r="F70" t="s">
        <v>28</v>
      </c>
      <c r="G70">
        <v>4</v>
      </c>
      <c r="H70" s="3">
        <v>15340</v>
      </c>
      <c r="I70" s="3">
        <v>61360</v>
      </c>
      <c r="J70" t="s">
        <v>16</v>
      </c>
      <c r="K70" t="s">
        <v>56</v>
      </c>
      <c r="L70" t="str">
        <f t="shared" si="1"/>
        <v>Vertex Retail</v>
      </c>
    </row>
    <row r="71" spans="1:12" x14ac:dyDescent="0.3">
      <c r="A71" t="s">
        <v>130</v>
      </c>
      <c r="B71" s="2">
        <v>45932</v>
      </c>
      <c r="C71" t="s">
        <v>25</v>
      </c>
      <c r="D71" t="s">
        <v>13</v>
      </c>
      <c r="E71" t="s">
        <v>32</v>
      </c>
      <c r="F71" t="s">
        <v>28</v>
      </c>
      <c r="G71">
        <v>2</v>
      </c>
      <c r="H71" s="3">
        <v>28930</v>
      </c>
      <c r="I71" s="3">
        <v>57860</v>
      </c>
      <c r="J71" t="s">
        <v>16</v>
      </c>
      <c r="K71" t="s">
        <v>17</v>
      </c>
      <c r="L71" t="str">
        <f t="shared" si="1"/>
        <v>Lotus Enterprises</v>
      </c>
    </row>
    <row r="72" spans="1:12" x14ac:dyDescent="0.3">
      <c r="A72" t="s">
        <v>131</v>
      </c>
      <c r="B72" s="2">
        <v>45830</v>
      </c>
      <c r="C72" t="s">
        <v>49</v>
      </c>
      <c r="D72" t="s">
        <v>13</v>
      </c>
      <c r="E72" t="s">
        <v>64</v>
      </c>
      <c r="F72" t="s">
        <v>28</v>
      </c>
      <c r="G72">
        <v>2</v>
      </c>
      <c r="H72" s="3">
        <v>14350</v>
      </c>
      <c r="I72" s="3">
        <v>28700</v>
      </c>
      <c r="J72" t="s">
        <v>22</v>
      </c>
      <c r="K72" t="s">
        <v>37</v>
      </c>
      <c r="L72" t="str">
        <f t="shared" si="1"/>
        <v>Metro Mart</v>
      </c>
    </row>
    <row r="73" spans="1:12" x14ac:dyDescent="0.3">
      <c r="A73" t="s">
        <v>132</v>
      </c>
      <c r="B73" s="2">
        <v>45658</v>
      </c>
      <c r="C73" t="s">
        <v>85</v>
      </c>
      <c r="D73" t="s">
        <v>26</v>
      </c>
      <c r="E73" t="s">
        <v>98</v>
      </c>
      <c r="F73" t="s">
        <v>15</v>
      </c>
      <c r="G73">
        <v>5</v>
      </c>
      <c r="H73" s="3">
        <v>2310</v>
      </c>
      <c r="I73" s="3">
        <v>11550</v>
      </c>
      <c r="J73" t="s">
        <v>22</v>
      </c>
      <c r="K73" t="s">
        <v>56</v>
      </c>
      <c r="L73" t="str">
        <f t="shared" si="1"/>
        <v>Crest Retail</v>
      </c>
    </row>
    <row r="74" spans="1:12" x14ac:dyDescent="0.3">
      <c r="A74" t="s">
        <v>133</v>
      </c>
      <c r="B74" s="2">
        <v>45774</v>
      </c>
      <c r="C74" t="s">
        <v>69</v>
      </c>
      <c r="D74" t="s">
        <v>13</v>
      </c>
      <c r="E74" t="s">
        <v>14</v>
      </c>
      <c r="F74" t="s">
        <v>15</v>
      </c>
      <c r="G74">
        <v>2</v>
      </c>
      <c r="H74" s="3">
        <v>1910</v>
      </c>
      <c r="I74" s="3">
        <v>3820</v>
      </c>
      <c r="J74" t="s">
        <v>29</v>
      </c>
      <c r="K74" t="s">
        <v>50</v>
      </c>
      <c r="L74" t="str">
        <f t="shared" si="1"/>
        <v>Future Mart</v>
      </c>
    </row>
    <row r="75" spans="1:12" x14ac:dyDescent="0.3">
      <c r="A75" t="s">
        <v>134</v>
      </c>
      <c r="B75" s="2">
        <v>45860</v>
      </c>
      <c r="C75" t="s">
        <v>75</v>
      </c>
      <c r="D75" t="s">
        <v>377</v>
      </c>
      <c r="E75" t="s">
        <v>27</v>
      </c>
      <c r="F75" t="s">
        <v>28</v>
      </c>
      <c r="G75">
        <v>6</v>
      </c>
      <c r="H75" s="3">
        <v>52230</v>
      </c>
      <c r="I75" s="3">
        <v>313380</v>
      </c>
      <c r="J75" t="s">
        <v>16</v>
      </c>
      <c r="K75" t="s">
        <v>17</v>
      </c>
      <c r="L75" t="str">
        <f t="shared" si="1"/>
        <v>Evergreen Stores</v>
      </c>
    </row>
    <row r="76" spans="1:12" x14ac:dyDescent="0.3">
      <c r="A76" t="s">
        <v>135</v>
      </c>
      <c r="B76" s="2">
        <v>45671</v>
      </c>
      <c r="C76" t="s">
        <v>31</v>
      </c>
      <c r="D76" t="s">
        <v>53</v>
      </c>
      <c r="E76" t="s">
        <v>39</v>
      </c>
      <c r="F76" t="s">
        <v>15</v>
      </c>
      <c r="G76">
        <v>3</v>
      </c>
      <c r="H76" s="3">
        <v>3270</v>
      </c>
      <c r="I76" s="3">
        <v>9810</v>
      </c>
      <c r="J76" t="s">
        <v>29</v>
      </c>
      <c r="K76" t="s">
        <v>50</v>
      </c>
      <c r="L76" t="str">
        <f t="shared" si="1"/>
        <v>Orbit Retail</v>
      </c>
    </row>
    <row r="77" spans="1:12" x14ac:dyDescent="0.3">
      <c r="A77" t="s">
        <v>136</v>
      </c>
      <c r="B77" s="2">
        <v>45669</v>
      </c>
      <c r="C77" t="s">
        <v>103</v>
      </c>
      <c r="D77" t="s">
        <v>20</v>
      </c>
      <c r="E77" t="s">
        <v>98</v>
      </c>
      <c r="F77" t="s">
        <v>15</v>
      </c>
      <c r="G77">
        <v>2</v>
      </c>
      <c r="H77" s="3">
        <v>2280</v>
      </c>
      <c r="I77" s="3">
        <v>4560</v>
      </c>
      <c r="J77" t="s">
        <v>22</v>
      </c>
      <c r="K77" t="s">
        <v>33</v>
      </c>
      <c r="L77" t="str">
        <f t="shared" si="1"/>
        <v>Jupiter Systems</v>
      </c>
    </row>
    <row r="78" spans="1:12" x14ac:dyDescent="0.3">
      <c r="A78" t="s">
        <v>137</v>
      </c>
      <c r="B78" s="2">
        <v>45821</v>
      </c>
      <c r="C78" t="s">
        <v>45</v>
      </c>
      <c r="D78" t="s">
        <v>13</v>
      </c>
      <c r="E78" t="s">
        <v>27</v>
      </c>
      <c r="F78" t="s">
        <v>28</v>
      </c>
      <c r="G78">
        <v>2</v>
      </c>
      <c r="H78" s="3">
        <v>49250</v>
      </c>
      <c r="I78" s="3">
        <v>98500</v>
      </c>
      <c r="J78" t="s">
        <v>22</v>
      </c>
      <c r="K78" t="s">
        <v>33</v>
      </c>
      <c r="L78" t="str">
        <f t="shared" si="1"/>
        <v>Horizon Distributors</v>
      </c>
    </row>
    <row r="79" spans="1:12" x14ac:dyDescent="0.3">
      <c r="A79" t="s">
        <v>138</v>
      </c>
      <c r="B79" s="2">
        <v>45802</v>
      </c>
      <c r="C79" t="s">
        <v>93</v>
      </c>
      <c r="D79" t="s">
        <v>26</v>
      </c>
      <c r="E79" t="s">
        <v>27</v>
      </c>
      <c r="F79" t="s">
        <v>28</v>
      </c>
      <c r="G79">
        <v>10</v>
      </c>
      <c r="H79" s="3">
        <v>56050</v>
      </c>
      <c r="I79" s="3">
        <v>560500</v>
      </c>
      <c r="J79" t="s">
        <v>29</v>
      </c>
      <c r="K79" t="s">
        <v>33</v>
      </c>
      <c r="L79" t="str">
        <f t="shared" si="1"/>
        <v>Iconic Retail</v>
      </c>
    </row>
    <row r="80" spans="1:12" x14ac:dyDescent="0.3">
      <c r="A80" t="s">
        <v>139</v>
      </c>
      <c r="B80" s="2">
        <v>45692</v>
      </c>
      <c r="C80" t="s">
        <v>69</v>
      </c>
      <c r="D80" t="s">
        <v>13</v>
      </c>
      <c r="E80" t="s">
        <v>32</v>
      </c>
      <c r="F80" t="s">
        <v>28</v>
      </c>
      <c r="G80">
        <v>2</v>
      </c>
      <c r="H80" s="3">
        <v>26360</v>
      </c>
      <c r="I80" s="3">
        <v>52720</v>
      </c>
      <c r="J80" t="s">
        <v>16</v>
      </c>
      <c r="K80" t="s">
        <v>50</v>
      </c>
      <c r="L80" t="str">
        <f t="shared" si="1"/>
        <v>Future Mart</v>
      </c>
    </row>
    <row r="81" spans="1:12" x14ac:dyDescent="0.3">
      <c r="A81" t="s">
        <v>140</v>
      </c>
      <c r="B81" s="2">
        <v>45899</v>
      </c>
      <c r="C81" t="s">
        <v>49</v>
      </c>
      <c r="D81" t="s">
        <v>26</v>
      </c>
      <c r="E81" t="s">
        <v>32</v>
      </c>
      <c r="F81" t="s">
        <v>28</v>
      </c>
      <c r="G81">
        <v>3</v>
      </c>
      <c r="H81" s="3">
        <v>29940</v>
      </c>
      <c r="I81" s="3">
        <v>89820</v>
      </c>
      <c r="J81" t="s">
        <v>16</v>
      </c>
      <c r="K81" t="s">
        <v>56</v>
      </c>
      <c r="L81" t="str">
        <f t="shared" si="1"/>
        <v>Metro Mart</v>
      </c>
    </row>
    <row r="82" spans="1:12" x14ac:dyDescent="0.3">
      <c r="A82" t="s">
        <v>141</v>
      </c>
      <c r="B82" s="2">
        <v>45924</v>
      </c>
      <c r="C82" t="s">
        <v>41</v>
      </c>
      <c r="D82" t="s">
        <v>26</v>
      </c>
      <c r="E82" t="s">
        <v>55</v>
      </c>
      <c r="F82" t="s">
        <v>47</v>
      </c>
      <c r="G82">
        <v>3</v>
      </c>
      <c r="H82" s="3">
        <v>9160</v>
      </c>
      <c r="I82" s="3">
        <v>27480</v>
      </c>
      <c r="J82" t="s">
        <v>29</v>
      </c>
      <c r="K82" t="s">
        <v>37</v>
      </c>
      <c r="L82" t="str">
        <f t="shared" si="1"/>
        <v>QuickBuy Pvt Ltd</v>
      </c>
    </row>
    <row r="83" spans="1:12" x14ac:dyDescent="0.3">
      <c r="A83" t="s">
        <v>142</v>
      </c>
      <c r="B83" s="2">
        <v>45968</v>
      </c>
      <c r="C83" t="s">
        <v>69</v>
      </c>
      <c r="D83" t="s">
        <v>20</v>
      </c>
      <c r="E83" t="s">
        <v>27</v>
      </c>
      <c r="F83" t="s">
        <v>28</v>
      </c>
      <c r="G83">
        <v>1</v>
      </c>
      <c r="H83" s="3">
        <v>47950</v>
      </c>
      <c r="I83" s="3">
        <v>47950</v>
      </c>
      <c r="J83" t="s">
        <v>29</v>
      </c>
      <c r="K83" t="s">
        <v>50</v>
      </c>
      <c r="L83" t="str">
        <f t="shared" si="1"/>
        <v>Future Mart</v>
      </c>
    </row>
    <row r="84" spans="1:12" x14ac:dyDescent="0.3">
      <c r="A84" t="s">
        <v>143</v>
      </c>
      <c r="B84" s="2">
        <v>45710</v>
      </c>
      <c r="C84" t="s">
        <v>75</v>
      </c>
      <c r="D84" t="s">
        <v>13</v>
      </c>
      <c r="E84" t="s">
        <v>39</v>
      </c>
      <c r="F84" t="s">
        <v>15</v>
      </c>
      <c r="G84">
        <v>10</v>
      </c>
      <c r="H84" s="3">
        <v>3230</v>
      </c>
      <c r="I84" s="3">
        <v>32300</v>
      </c>
      <c r="J84" t="s">
        <v>22</v>
      </c>
      <c r="K84" t="s">
        <v>17</v>
      </c>
      <c r="L84" t="str">
        <f t="shared" si="1"/>
        <v>Evergreen Stores</v>
      </c>
    </row>
    <row r="85" spans="1:12" x14ac:dyDescent="0.3">
      <c r="A85" t="s">
        <v>144</v>
      </c>
      <c r="B85" s="2">
        <v>45708</v>
      </c>
      <c r="C85" t="s">
        <v>49</v>
      </c>
      <c r="D85" t="s">
        <v>26</v>
      </c>
      <c r="E85" t="s">
        <v>64</v>
      </c>
      <c r="F85" t="s">
        <v>28</v>
      </c>
      <c r="G85">
        <v>3</v>
      </c>
      <c r="H85" s="3">
        <v>13640</v>
      </c>
      <c r="I85" s="3">
        <v>40920</v>
      </c>
      <c r="J85" t="s">
        <v>22</v>
      </c>
      <c r="K85" t="s">
        <v>56</v>
      </c>
      <c r="L85" t="str">
        <f t="shared" si="1"/>
        <v>Metro Mart</v>
      </c>
    </row>
    <row r="86" spans="1:12" x14ac:dyDescent="0.3">
      <c r="A86" t="s">
        <v>145</v>
      </c>
      <c r="B86" s="2">
        <v>45729</v>
      </c>
      <c r="C86" t="s">
        <v>12</v>
      </c>
      <c r="D86" t="s">
        <v>13</v>
      </c>
      <c r="E86" t="s">
        <v>98</v>
      </c>
      <c r="F86" t="s">
        <v>15</v>
      </c>
      <c r="G86">
        <v>4</v>
      </c>
      <c r="H86" s="3">
        <v>2150</v>
      </c>
      <c r="I86" s="3">
        <v>8600</v>
      </c>
      <c r="J86" t="s">
        <v>22</v>
      </c>
      <c r="K86" t="s">
        <v>37</v>
      </c>
      <c r="L86" t="str">
        <f t="shared" si="1"/>
        <v>Galaxy Tech</v>
      </c>
    </row>
    <row r="87" spans="1:12" x14ac:dyDescent="0.3">
      <c r="A87" t="s">
        <v>146</v>
      </c>
      <c r="B87" s="2">
        <v>45711</v>
      </c>
      <c r="C87" t="s">
        <v>25</v>
      </c>
      <c r="D87" t="s">
        <v>26</v>
      </c>
      <c r="E87" t="s">
        <v>21</v>
      </c>
      <c r="F87" t="s">
        <v>15</v>
      </c>
      <c r="G87">
        <v>6</v>
      </c>
      <c r="H87" s="3">
        <v>870</v>
      </c>
      <c r="I87" s="3">
        <v>5220</v>
      </c>
      <c r="J87" t="s">
        <v>22</v>
      </c>
      <c r="K87" t="s">
        <v>23</v>
      </c>
      <c r="L87" t="str">
        <f t="shared" si="1"/>
        <v>Lotus Enterprises</v>
      </c>
    </row>
    <row r="88" spans="1:12" x14ac:dyDescent="0.3">
      <c r="A88" t="s">
        <v>147</v>
      </c>
      <c r="B88" s="2">
        <v>45864</v>
      </c>
      <c r="C88" t="s">
        <v>75</v>
      </c>
      <c r="D88" t="s">
        <v>26</v>
      </c>
      <c r="E88" t="s">
        <v>55</v>
      </c>
      <c r="F88" t="s">
        <v>47</v>
      </c>
      <c r="G88">
        <v>4</v>
      </c>
      <c r="H88" s="3">
        <v>8470</v>
      </c>
      <c r="I88" s="3">
        <v>33880</v>
      </c>
      <c r="J88" t="s">
        <v>22</v>
      </c>
      <c r="K88" t="s">
        <v>37</v>
      </c>
      <c r="L88" t="str">
        <f t="shared" si="1"/>
        <v>Evergreen Stores</v>
      </c>
    </row>
    <row r="89" spans="1:12" x14ac:dyDescent="0.3">
      <c r="A89" t="s">
        <v>148</v>
      </c>
      <c r="B89" s="2">
        <v>45883</v>
      </c>
      <c r="C89" t="s">
        <v>69</v>
      </c>
      <c r="D89" t="s">
        <v>13</v>
      </c>
      <c r="E89" t="s">
        <v>55</v>
      </c>
      <c r="F89" t="s">
        <v>47</v>
      </c>
      <c r="G89">
        <v>6</v>
      </c>
      <c r="H89" s="3">
        <v>8660</v>
      </c>
      <c r="I89" s="3">
        <v>51960</v>
      </c>
      <c r="J89" t="s">
        <v>22</v>
      </c>
      <c r="K89" t="s">
        <v>37</v>
      </c>
      <c r="L89" t="str">
        <f t="shared" si="1"/>
        <v>Future Mart</v>
      </c>
    </row>
    <row r="90" spans="1:12" x14ac:dyDescent="0.3">
      <c r="A90" t="s">
        <v>149</v>
      </c>
      <c r="B90" s="2">
        <v>45965</v>
      </c>
      <c r="C90" t="s">
        <v>69</v>
      </c>
      <c r="D90" t="s">
        <v>26</v>
      </c>
      <c r="E90" t="s">
        <v>21</v>
      </c>
      <c r="F90" t="s">
        <v>15</v>
      </c>
      <c r="G90">
        <v>3</v>
      </c>
      <c r="H90" s="3">
        <v>960</v>
      </c>
      <c r="I90" s="3">
        <v>2880</v>
      </c>
      <c r="J90" t="s">
        <v>16</v>
      </c>
      <c r="K90" t="s">
        <v>33</v>
      </c>
      <c r="L90" t="str">
        <f t="shared" si="1"/>
        <v>Future Mart</v>
      </c>
    </row>
    <row r="91" spans="1:12" x14ac:dyDescent="0.3">
      <c r="A91" t="s">
        <v>150</v>
      </c>
      <c r="B91" s="2">
        <v>45942</v>
      </c>
      <c r="C91" t="s">
        <v>120</v>
      </c>
      <c r="D91" t="s">
        <v>53</v>
      </c>
      <c r="E91" t="s">
        <v>14</v>
      </c>
      <c r="F91" t="s">
        <v>15</v>
      </c>
      <c r="G91">
        <v>3</v>
      </c>
      <c r="H91" s="3">
        <v>1860</v>
      </c>
      <c r="I91" s="3">
        <v>5580</v>
      </c>
      <c r="J91" t="s">
        <v>29</v>
      </c>
      <c r="K91" t="s">
        <v>37</v>
      </c>
      <c r="L91" t="str">
        <f t="shared" si="1"/>
        <v>Delta Enterprises</v>
      </c>
    </row>
    <row r="92" spans="1:12" x14ac:dyDescent="0.3">
      <c r="A92" t="s">
        <v>152</v>
      </c>
      <c r="B92" s="2">
        <v>45919</v>
      </c>
      <c r="C92" t="s">
        <v>19</v>
      </c>
      <c r="D92" t="s">
        <v>26</v>
      </c>
      <c r="E92" t="s">
        <v>55</v>
      </c>
      <c r="F92" t="s">
        <v>47</v>
      </c>
      <c r="G92">
        <v>1</v>
      </c>
      <c r="H92" s="3">
        <v>7880</v>
      </c>
      <c r="I92" s="3">
        <v>7880</v>
      </c>
      <c r="J92" t="s">
        <v>22</v>
      </c>
      <c r="K92" t="s">
        <v>17</v>
      </c>
      <c r="L92" t="str">
        <f t="shared" si="1"/>
        <v>Bright Solutions</v>
      </c>
    </row>
    <row r="93" spans="1:12" x14ac:dyDescent="0.3">
      <c r="A93" t="s">
        <v>153</v>
      </c>
      <c r="B93" s="2">
        <v>45808</v>
      </c>
      <c r="C93" t="s">
        <v>80</v>
      </c>
      <c r="D93" t="s">
        <v>53</v>
      </c>
      <c r="E93" t="s">
        <v>32</v>
      </c>
      <c r="F93" t="s">
        <v>28</v>
      </c>
      <c r="G93">
        <v>2</v>
      </c>
      <c r="H93" s="3">
        <v>28170</v>
      </c>
      <c r="I93" s="3">
        <v>56340</v>
      </c>
      <c r="J93" t="s">
        <v>16</v>
      </c>
      <c r="K93" t="s">
        <v>23</v>
      </c>
      <c r="L93" t="str">
        <f t="shared" si="1"/>
        <v>Prime Distributors</v>
      </c>
    </row>
    <row r="94" spans="1:12" x14ac:dyDescent="0.3">
      <c r="A94" t="s">
        <v>154</v>
      </c>
      <c r="B94" s="2">
        <v>45938</v>
      </c>
      <c r="C94" t="s">
        <v>85</v>
      </c>
      <c r="D94" t="s">
        <v>20</v>
      </c>
      <c r="E94" t="s">
        <v>98</v>
      </c>
      <c r="F94" t="s">
        <v>15</v>
      </c>
      <c r="G94">
        <v>2</v>
      </c>
      <c r="H94" s="3">
        <v>2270</v>
      </c>
      <c r="I94" s="3">
        <v>4540</v>
      </c>
      <c r="J94" t="s">
        <v>16</v>
      </c>
      <c r="K94" t="s">
        <v>17</v>
      </c>
      <c r="L94" t="str">
        <f t="shared" si="1"/>
        <v>Crest Retail</v>
      </c>
    </row>
    <row r="95" spans="1:12" x14ac:dyDescent="0.3">
      <c r="A95" t="s">
        <v>155</v>
      </c>
      <c r="B95" s="2">
        <v>45934</v>
      </c>
      <c r="C95" t="s">
        <v>75</v>
      </c>
      <c r="D95" t="s">
        <v>13</v>
      </c>
      <c r="E95" t="s">
        <v>98</v>
      </c>
      <c r="F95" t="s">
        <v>15</v>
      </c>
      <c r="G95">
        <v>1</v>
      </c>
      <c r="H95" s="3">
        <v>2090</v>
      </c>
      <c r="I95" s="3">
        <v>2090</v>
      </c>
      <c r="J95" t="s">
        <v>22</v>
      </c>
      <c r="K95" t="s">
        <v>50</v>
      </c>
      <c r="L95" t="str">
        <f t="shared" si="1"/>
        <v>Evergreen Stores</v>
      </c>
    </row>
    <row r="96" spans="1:12" x14ac:dyDescent="0.3">
      <c r="A96" t="s">
        <v>156</v>
      </c>
      <c r="B96" s="2">
        <v>45669</v>
      </c>
      <c r="C96" t="s">
        <v>89</v>
      </c>
      <c r="D96" t="s">
        <v>13</v>
      </c>
      <c r="E96" t="s">
        <v>27</v>
      </c>
      <c r="F96" t="s">
        <v>28</v>
      </c>
      <c r="G96">
        <v>3</v>
      </c>
      <c r="H96" s="3">
        <v>52290</v>
      </c>
      <c r="I96" s="3">
        <v>156870</v>
      </c>
      <c r="J96" t="s">
        <v>29</v>
      </c>
      <c r="K96" t="s">
        <v>23</v>
      </c>
      <c r="L96" t="str">
        <f t="shared" si="1"/>
        <v>Nova Solutions</v>
      </c>
    </row>
    <row r="97" spans="1:12" x14ac:dyDescent="0.3">
      <c r="A97" t="s">
        <v>157</v>
      </c>
      <c r="B97" s="2">
        <v>45704</v>
      </c>
      <c r="C97" t="s">
        <v>31</v>
      </c>
      <c r="D97" t="s">
        <v>20</v>
      </c>
      <c r="E97" t="s">
        <v>14</v>
      </c>
      <c r="F97" t="s">
        <v>15</v>
      </c>
      <c r="G97">
        <v>2</v>
      </c>
      <c r="H97" s="3">
        <v>1680</v>
      </c>
      <c r="I97" s="3">
        <v>3360</v>
      </c>
      <c r="J97" t="s">
        <v>22</v>
      </c>
      <c r="K97" t="s">
        <v>17</v>
      </c>
      <c r="L97" t="str">
        <f t="shared" si="1"/>
        <v>Orbit Retail</v>
      </c>
    </row>
    <row r="98" spans="1:12" x14ac:dyDescent="0.3">
      <c r="A98" t="s">
        <v>158</v>
      </c>
      <c r="B98" s="2">
        <v>45914</v>
      </c>
      <c r="C98" t="s">
        <v>45</v>
      </c>
      <c r="D98" t="s">
        <v>26</v>
      </c>
      <c r="E98" t="s">
        <v>39</v>
      </c>
      <c r="F98" t="s">
        <v>15</v>
      </c>
      <c r="G98">
        <v>1</v>
      </c>
      <c r="H98" s="3">
        <v>3090</v>
      </c>
      <c r="I98" s="3">
        <v>3090</v>
      </c>
      <c r="J98" t="s">
        <v>16</v>
      </c>
      <c r="K98" t="s">
        <v>50</v>
      </c>
      <c r="L98" t="str">
        <f t="shared" si="1"/>
        <v>Horizon Distributors</v>
      </c>
    </row>
    <row r="99" spans="1:12" x14ac:dyDescent="0.3">
      <c r="A99" t="s">
        <v>159</v>
      </c>
      <c r="B99" s="2">
        <v>45671</v>
      </c>
      <c r="C99" t="s">
        <v>89</v>
      </c>
      <c r="D99" t="s">
        <v>20</v>
      </c>
      <c r="E99" t="s">
        <v>39</v>
      </c>
      <c r="F99" t="s">
        <v>15</v>
      </c>
      <c r="G99">
        <v>3</v>
      </c>
      <c r="H99" s="3">
        <v>3420</v>
      </c>
      <c r="I99" s="3">
        <v>10260</v>
      </c>
      <c r="J99" t="s">
        <v>22</v>
      </c>
      <c r="K99" t="s">
        <v>50</v>
      </c>
      <c r="L99" t="str">
        <f t="shared" si="1"/>
        <v>Nova Solutions</v>
      </c>
    </row>
    <row r="100" spans="1:12" x14ac:dyDescent="0.3">
      <c r="A100" t="s">
        <v>160</v>
      </c>
      <c r="B100" s="2">
        <v>45660</v>
      </c>
      <c r="C100" t="s">
        <v>31</v>
      </c>
      <c r="D100" t="s">
        <v>53</v>
      </c>
      <c r="E100" t="s">
        <v>27</v>
      </c>
      <c r="F100" t="s">
        <v>28</v>
      </c>
      <c r="G100">
        <v>1</v>
      </c>
      <c r="H100" s="3">
        <v>48950</v>
      </c>
      <c r="I100" s="3">
        <v>48950</v>
      </c>
      <c r="J100" t="s">
        <v>22</v>
      </c>
      <c r="K100" t="s">
        <v>17</v>
      </c>
      <c r="L100" t="str">
        <f t="shared" si="1"/>
        <v>Orbit Retail</v>
      </c>
    </row>
    <row r="101" spans="1:12" x14ac:dyDescent="0.3">
      <c r="A101" t="s">
        <v>161</v>
      </c>
      <c r="B101" s="2">
        <v>45884</v>
      </c>
      <c r="C101" t="s">
        <v>101</v>
      </c>
      <c r="D101" t="s">
        <v>53</v>
      </c>
      <c r="E101" t="s">
        <v>35</v>
      </c>
      <c r="F101" t="s">
        <v>36</v>
      </c>
      <c r="G101">
        <v>1</v>
      </c>
      <c r="H101" s="3">
        <v>12390</v>
      </c>
      <c r="I101" s="3">
        <v>12390</v>
      </c>
      <c r="J101" t="s">
        <v>29</v>
      </c>
      <c r="K101" t="s">
        <v>50</v>
      </c>
      <c r="L101" t="str">
        <f t="shared" si="1"/>
        <v>Sunrise Enterprises</v>
      </c>
    </row>
    <row r="102" spans="1:12" x14ac:dyDescent="0.3">
      <c r="A102" t="s">
        <v>162</v>
      </c>
      <c r="B102" s="2">
        <v>45743</v>
      </c>
      <c r="C102" t="s">
        <v>25</v>
      </c>
      <c r="D102" t="s">
        <v>26</v>
      </c>
      <c r="E102" t="s">
        <v>64</v>
      </c>
      <c r="F102" t="s">
        <v>28</v>
      </c>
      <c r="G102">
        <v>3</v>
      </c>
      <c r="H102" s="3">
        <v>15290</v>
      </c>
      <c r="I102" s="3">
        <v>45870</v>
      </c>
      <c r="J102" t="s">
        <v>29</v>
      </c>
      <c r="K102" t="s">
        <v>50</v>
      </c>
      <c r="L102" t="str">
        <f t="shared" si="1"/>
        <v>Lotus Enterprises</v>
      </c>
    </row>
    <row r="103" spans="1:12" x14ac:dyDescent="0.3">
      <c r="A103" t="s">
        <v>163</v>
      </c>
      <c r="B103" s="2">
        <v>45766</v>
      </c>
      <c r="C103" t="s">
        <v>43</v>
      </c>
      <c r="D103" t="s">
        <v>53</v>
      </c>
      <c r="E103" t="s">
        <v>32</v>
      </c>
      <c r="F103" t="s">
        <v>28</v>
      </c>
      <c r="G103">
        <v>4</v>
      </c>
      <c r="H103" s="3">
        <v>29300</v>
      </c>
      <c r="I103" s="3">
        <v>117200</v>
      </c>
      <c r="J103" t="s">
        <v>16</v>
      </c>
      <c r="K103" t="s">
        <v>23</v>
      </c>
      <c r="L103" t="str">
        <f t="shared" si="1"/>
        <v>Royal Traders</v>
      </c>
    </row>
    <row r="104" spans="1:12" x14ac:dyDescent="0.3">
      <c r="A104" t="s">
        <v>164</v>
      </c>
      <c r="B104" s="2">
        <v>45740</v>
      </c>
      <c r="C104" t="s">
        <v>103</v>
      </c>
      <c r="D104" t="s">
        <v>26</v>
      </c>
      <c r="E104" t="s">
        <v>32</v>
      </c>
      <c r="F104" t="s">
        <v>28</v>
      </c>
      <c r="G104">
        <v>5</v>
      </c>
      <c r="H104" s="3">
        <v>27690</v>
      </c>
      <c r="I104" s="3">
        <v>138450</v>
      </c>
      <c r="J104" t="s">
        <v>29</v>
      </c>
      <c r="K104" t="s">
        <v>23</v>
      </c>
      <c r="L104" t="str">
        <f t="shared" si="1"/>
        <v>Jupiter Systems</v>
      </c>
    </row>
    <row r="105" spans="1:12" x14ac:dyDescent="0.3">
      <c r="A105" t="s">
        <v>165</v>
      </c>
      <c r="B105" s="2">
        <v>45972</v>
      </c>
      <c r="C105" t="s">
        <v>49</v>
      </c>
      <c r="D105" t="s">
        <v>13</v>
      </c>
      <c r="E105" t="s">
        <v>46</v>
      </c>
      <c r="F105" t="s">
        <v>47</v>
      </c>
      <c r="G105">
        <v>4</v>
      </c>
      <c r="H105" s="3">
        <v>11510</v>
      </c>
      <c r="I105" s="3">
        <v>46040</v>
      </c>
      <c r="J105" t="s">
        <v>29</v>
      </c>
      <c r="K105" t="s">
        <v>56</v>
      </c>
      <c r="L105" t="str">
        <f t="shared" si="1"/>
        <v>Metro Mart</v>
      </c>
    </row>
    <row r="106" spans="1:12" x14ac:dyDescent="0.3">
      <c r="A106" t="s">
        <v>166</v>
      </c>
      <c r="B106" s="2">
        <v>45769</v>
      </c>
      <c r="C106" t="s">
        <v>120</v>
      </c>
      <c r="D106" t="s">
        <v>13</v>
      </c>
      <c r="E106" t="s">
        <v>64</v>
      </c>
      <c r="F106" t="s">
        <v>28</v>
      </c>
      <c r="G106">
        <v>1</v>
      </c>
      <c r="H106" s="3">
        <v>13690</v>
      </c>
      <c r="I106" s="3">
        <v>13690</v>
      </c>
      <c r="J106" t="s">
        <v>16</v>
      </c>
      <c r="K106" t="s">
        <v>23</v>
      </c>
      <c r="L106" t="str">
        <f t="shared" si="1"/>
        <v>Delta Enterprises</v>
      </c>
    </row>
    <row r="107" spans="1:12" x14ac:dyDescent="0.3">
      <c r="A107" t="s">
        <v>167</v>
      </c>
      <c r="B107" s="2">
        <v>45904</v>
      </c>
      <c r="C107" t="s">
        <v>85</v>
      </c>
      <c r="D107" t="s">
        <v>53</v>
      </c>
      <c r="E107" t="s">
        <v>14</v>
      </c>
      <c r="F107" t="s">
        <v>15</v>
      </c>
      <c r="G107">
        <v>1</v>
      </c>
      <c r="H107" s="3">
        <v>1910</v>
      </c>
      <c r="I107" s="3">
        <v>1910</v>
      </c>
      <c r="J107" t="s">
        <v>16</v>
      </c>
      <c r="K107" t="s">
        <v>50</v>
      </c>
      <c r="L107" t="str">
        <f t="shared" si="1"/>
        <v>Crest Retail</v>
      </c>
    </row>
    <row r="108" spans="1:12" x14ac:dyDescent="0.3">
      <c r="A108" t="s">
        <v>168</v>
      </c>
      <c r="B108" s="2">
        <v>45877</v>
      </c>
      <c r="C108" t="s">
        <v>52</v>
      </c>
      <c r="D108" t="s">
        <v>20</v>
      </c>
      <c r="E108" t="s">
        <v>39</v>
      </c>
      <c r="F108" t="s">
        <v>15</v>
      </c>
      <c r="G108">
        <v>1</v>
      </c>
      <c r="H108" s="3">
        <v>3150</v>
      </c>
      <c r="I108" s="3">
        <v>3150</v>
      </c>
      <c r="J108" t="s">
        <v>16</v>
      </c>
      <c r="K108" t="s">
        <v>23</v>
      </c>
      <c r="L108" t="str">
        <f t="shared" si="1"/>
        <v>Kaveri Stores</v>
      </c>
    </row>
    <row r="109" spans="1:12" x14ac:dyDescent="0.3">
      <c r="A109" t="s">
        <v>169</v>
      </c>
      <c r="B109" s="2">
        <v>45719</v>
      </c>
      <c r="C109" t="s">
        <v>19</v>
      </c>
      <c r="D109" t="s">
        <v>53</v>
      </c>
      <c r="E109" t="s">
        <v>39</v>
      </c>
      <c r="F109" t="s">
        <v>15</v>
      </c>
      <c r="G109">
        <v>3</v>
      </c>
      <c r="H109" s="3">
        <v>3310</v>
      </c>
      <c r="I109" s="3">
        <v>9930</v>
      </c>
      <c r="J109" t="s">
        <v>16</v>
      </c>
      <c r="K109" t="s">
        <v>37</v>
      </c>
      <c r="L109" t="str">
        <f t="shared" si="1"/>
        <v>Bright Solutions</v>
      </c>
    </row>
    <row r="110" spans="1:12" x14ac:dyDescent="0.3">
      <c r="A110" t="s">
        <v>170</v>
      </c>
      <c r="B110" s="2">
        <v>45775</v>
      </c>
      <c r="C110" t="s">
        <v>120</v>
      </c>
      <c r="D110" t="s">
        <v>53</v>
      </c>
      <c r="E110" t="s">
        <v>14</v>
      </c>
      <c r="F110" t="s">
        <v>15</v>
      </c>
      <c r="G110">
        <v>5</v>
      </c>
      <c r="H110" s="3">
        <v>1710</v>
      </c>
      <c r="I110" s="3">
        <v>8550</v>
      </c>
      <c r="J110" t="s">
        <v>29</v>
      </c>
      <c r="K110" t="s">
        <v>33</v>
      </c>
      <c r="L110" t="str">
        <f t="shared" si="1"/>
        <v>Delta Enterprises</v>
      </c>
    </row>
    <row r="111" spans="1:12" x14ac:dyDescent="0.3">
      <c r="A111" t="s">
        <v>171</v>
      </c>
      <c r="B111" s="2">
        <v>45977</v>
      </c>
      <c r="C111" t="s">
        <v>69</v>
      </c>
      <c r="D111" t="s">
        <v>26</v>
      </c>
      <c r="E111" t="s">
        <v>64</v>
      </c>
      <c r="F111" t="s">
        <v>28</v>
      </c>
      <c r="G111">
        <v>1</v>
      </c>
      <c r="H111" s="3">
        <v>14760</v>
      </c>
      <c r="I111" s="3">
        <v>14760</v>
      </c>
      <c r="J111" t="s">
        <v>22</v>
      </c>
      <c r="K111" t="s">
        <v>17</v>
      </c>
      <c r="L111" t="str">
        <f t="shared" si="1"/>
        <v>Future Mart</v>
      </c>
    </row>
    <row r="112" spans="1:12" x14ac:dyDescent="0.3">
      <c r="A112" t="s">
        <v>172</v>
      </c>
      <c r="B112" s="2">
        <v>45835</v>
      </c>
      <c r="C112" t="s">
        <v>103</v>
      </c>
      <c r="D112" t="s">
        <v>26</v>
      </c>
      <c r="E112" t="s">
        <v>39</v>
      </c>
      <c r="F112" t="s">
        <v>15</v>
      </c>
      <c r="G112">
        <v>2</v>
      </c>
      <c r="H112" s="3">
        <v>3250</v>
      </c>
      <c r="I112" s="3">
        <v>6500</v>
      </c>
      <c r="J112" t="s">
        <v>16</v>
      </c>
      <c r="K112" t="s">
        <v>37</v>
      </c>
      <c r="L112" t="str">
        <f t="shared" si="1"/>
        <v>Jupiter Systems</v>
      </c>
    </row>
    <row r="113" spans="1:12" x14ac:dyDescent="0.3">
      <c r="A113" t="s">
        <v>173</v>
      </c>
      <c r="B113" s="2">
        <v>45978</v>
      </c>
      <c r="C113" t="s">
        <v>174</v>
      </c>
      <c r="D113" t="s">
        <v>26</v>
      </c>
      <c r="E113" t="s">
        <v>39</v>
      </c>
      <c r="F113" t="s">
        <v>15</v>
      </c>
      <c r="G113">
        <v>2</v>
      </c>
      <c r="H113" s="3">
        <v>3360</v>
      </c>
      <c r="I113" s="3">
        <v>6720</v>
      </c>
      <c r="J113" t="s">
        <v>29</v>
      </c>
      <c r="K113" t="s">
        <v>56</v>
      </c>
      <c r="L113" t="str">
        <f t="shared" si="1"/>
        <v>Evergreen Stores</v>
      </c>
    </row>
    <row r="114" spans="1:12" x14ac:dyDescent="0.3">
      <c r="A114" t="s">
        <v>175</v>
      </c>
      <c r="B114" s="2">
        <v>45751</v>
      </c>
      <c r="C114" t="s">
        <v>41</v>
      </c>
      <c r="D114" t="s">
        <v>26</v>
      </c>
      <c r="E114" t="s">
        <v>32</v>
      </c>
      <c r="F114" t="s">
        <v>28</v>
      </c>
      <c r="G114">
        <v>3</v>
      </c>
      <c r="H114" s="3">
        <v>27610</v>
      </c>
      <c r="I114" s="3">
        <v>82830</v>
      </c>
      <c r="J114" t="s">
        <v>22</v>
      </c>
      <c r="K114" t="s">
        <v>33</v>
      </c>
      <c r="L114" t="str">
        <f t="shared" si="1"/>
        <v>QuickBuy Pvt Ltd</v>
      </c>
    </row>
    <row r="115" spans="1:12" x14ac:dyDescent="0.3">
      <c r="A115" t="s">
        <v>176</v>
      </c>
      <c r="B115" s="2">
        <v>45794</v>
      </c>
      <c r="C115" t="s">
        <v>19</v>
      </c>
      <c r="D115" t="s">
        <v>20</v>
      </c>
      <c r="E115" t="s">
        <v>39</v>
      </c>
      <c r="F115" t="s">
        <v>15</v>
      </c>
      <c r="G115">
        <v>1</v>
      </c>
      <c r="H115" s="3">
        <v>3320</v>
      </c>
      <c r="I115" s="3">
        <v>3320</v>
      </c>
      <c r="J115" t="s">
        <v>16</v>
      </c>
      <c r="K115" t="s">
        <v>17</v>
      </c>
      <c r="L115" t="str">
        <f t="shared" si="1"/>
        <v>Bright Solutions</v>
      </c>
    </row>
    <row r="116" spans="1:12" x14ac:dyDescent="0.3">
      <c r="A116" t="s">
        <v>177</v>
      </c>
      <c r="B116" s="2">
        <v>46006</v>
      </c>
      <c r="C116" t="s">
        <v>45</v>
      </c>
      <c r="D116" t="s">
        <v>53</v>
      </c>
      <c r="E116" t="s">
        <v>39</v>
      </c>
      <c r="F116" t="s">
        <v>15</v>
      </c>
      <c r="G116">
        <v>4</v>
      </c>
      <c r="H116" s="3">
        <v>2970</v>
      </c>
      <c r="I116" s="3">
        <v>11880</v>
      </c>
      <c r="J116" t="s">
        <v>29</v>
      </c>
      <c r="K116" t="s">
        <v>50</v>
      </c>
      <c r="L116" t="str">
        <f t="shared" si="1"/>
        <v>Horizon Distributors</v>
      </c>
    </row>
    <row r="117" spans="1:12" x14ac:dyDescent="0.3">
      <c r="A117" t="s">
        <v>178</v>
      </c>
      <c r="B117" s="2">
        <v>45662</v>
      </c>
      <c r="C117" t="s">
        <v>101</v>
      </c>
      <c r="D117" t="s">
        <v>53</v>
      </c>
      <c r="E117" t="s">
        <v>64</v>
      </c>
      <c r="F117" t="s">
        <v>28</v>
      </c>
      <c r="G117">
        <v>1</v>
      </c>
      <c r="H117" s="3">
        <v>13720</v>
      </c>
      <c r="I117" s="3">
        <v>13720</v>
      </c>
      <c r="J117" t="s">
        <v>22</v>
      </c>
      <c r="K117" t="s">
        <v>37</v>
      </c>
      <c r="L117" t="str">
        <f t="shared" si="1"/>
        <v>Sunrise Enterprises</v>
      </c>
    </row>
    <row r="118" spans="1:12" x14ac:dyDescent="0.3">
      <c r="A118" t="s">
        <v>179</v>
      </c>
      <c r="B118" s="2">
        <v>45953</v>
      </c>
      <c r="C118" t="s">
        <v>45</v>
      </c>
      <c r="D118" t="s">
        <v>53</v>
      </c>
      <c r="E118" t="s">
        <v>46</v>
      </c>
      <c r="F118" t="s">
        <v>47</v>
      </c>
      <c r="G118">
        <v>2</v>
      </c>
      <c r="H118" s="3">
        <v>12170</v>
      </c>
      <c r="I118" s="3">
        <v>24340</v>
      </c>
      <c r="J118" t="s">
        <v>22</v>
      </c>
      <c r="K118" t="s">
        <v>17</v>
      </c>
      <c r="L118" t="str">
        <f t="shared" si="1"/>
        <v>Horizon Distributors</v>
      </c>
    </row>
    <row r="119" spans="1:12" x14ac:dyDescent="0.3">
      <c r="A119" t="s">
        <v>180</v>
      </c>
      <c r="B119" s="2">
        <v>45810</v>
      </c>
      <c r="C119" t="s">
        <v>41</v>
      </c>
      <c r="D119" t="s">
        <v>26</v>
      </c>
      <c r="E119" t="s">
        <v>32</v>
      </c>
      <c r="F119" t="s">
        <v>28</v>
      </c>
      <c r="G119">
        <v>3</v>
      </c>
      <c r="H119" s="3">
        <v>27730</v>
      </c>
      <c r="I119" s="3">
        <v>83190</v>
      </c>
      <c r="J119" t="s">
        <v>16</v>
      </c>
      <c r="K119" t="s">
        <v>37</v>
      </c>
      <c r="L119" t="str">
        <f t="shared" si="1"/>
        <v>QuickBuy Pvt Ltd</v>
      </c>
    </row>
    <row r="120" spans="1:12" x14ac:dyDescent="0.3">
      <c r="A120" t="s">
        <v>181</v>
      </c>
      <c r="B120" s="2">
        <v>45855</v>
      </c>
      <c r="C120" t="s">
        <v>69</v>
      </c>
      <c r="D120" t="s">
        <v>53</v>
      </c>
      <c r="E120" t="s">
        <v>35</v>
      </c>
      <c r="F120" t="s">
        <v>36</v>
      </c>
      <c r="G120">
        <v>6</v>
      </c>
      <c r="H120" s="3">
        <v>12750</v>
      </c>
      <c r="I120" s="3">
        <v>76500</v>
      </c>
      <c r="J120" t="s">
        <v>16</v>
      </c>
      <c r="K120" t="s">
        <v>17</v>
      </c>
      <c r="L120" t="str">
        <f t="shared" si="1"/>
        <v>Future Mart</v>
      </c>
    </row>
    <row r="121" spans="1:12" x14ac:dyDescent="0.3">
      <c r="A121" t="s">
        <v>182</v>
      </c>
      <c r="B121" s="2">
        <v>45814</v>
      </c>
      <c r="C121" t="s">
        <v>60</v>
      </c>
      <c r="D121" t="s">
        <v>20</v>
      </c>
      <c r="E121" t="s">
        <v>14</v>
      </c>
      <c r="F121" t="s">
        <v>15</v>
      </c>
      <c r="G121">
        <v>1</v>
      </c>
      <c r="H121" s="3">
        <v>1880</v>
      </c>
      <c r="I121" s="3">
        <v>1880</v>
      </c>
      <c r="J121" t="s">
        <v>22</v>
      </c>
      <c r="K121" t="s">
        <v>17</v>
      </c>
      <c r="L121" t="str">
        <f t="shared" si="1"/>
        <v>Alpha Traders</v>
      </c>
    </row>
    <row r="122" spans="1:12" x14ac:dyDescent="0.3">
      <c r="A122" t="s">
        <v>183</v>
      </c>
      <c r="B122" s="2">
        <v>45946</v>
      </c>
      <c r="C122" t="s">
        <v>120</v>
      </c>
      <c r="D122" t="s">
        <v>13</v>
      </c>
      <c r="E122" t="s">
        <v>55</v>
      </c>
      <c r="F122" t="s">
        <v>47</v>
      </c>
      <c r="G122">
        <v>1</v>
      </c>
      <c r="H122" s="3">
        <v>8240</v>
      </c>
      <c r="I122" s="3">
        <v>8240</v>
      </c>
      <c r="J122" t="s">
        <v>22</v>
      </c>
      <c r="K122" t="s">
        <v>37</v>
      </c>
      <c r="L122" t="str">
        <f t="shared" si="1"/>
        <v>Delta Enterprises</v>
      </c>
    </row>
    <row r="123" spans="1:12" x14ac:dyDescent="0.3">
      <c r="A123" t="s">
        <v>184</v>
      </c>
      <c r="B123" s="2">
        <v>45816</v>
      </c>
      <c r="C123" t="s">
        <v>31</v>
      </c>
      <c r="D123" t="s">
        <v>20</v>
      </c>
      <c r="E123" t="s">
        <v>35</v>
      </c>
      <c r="F123" t="s">
        <v>36</v>
      </c>
      <c r="G123">
        <v>5</v>
      </c>
      <c r="H123" s="3">
        <v>11710</v>
      </c>
      <c r="I123" s="3">
        <v>58550</v>
      </c>
      <c r="J123" t="s">
        <v>29</v>
      </c>
      <c r="K123" t="s">
        <v>33</v>
      </c>
      <c r="L123" t="str">
        <f t="shared" si="1"/>
        <v>Orbit Retail</v>
      </c>
    </row>
    <row r="124" spans="1:12" x14ac:dyDescent="0.3">
      <c r="A124" t="s">
        <v>185</v>
      </c>
      <c r="B124" s="2">
        <v>45704</v>
      </c>
      <c r="C124" t="s">
        <v>120</v>
      </c>
      <c r="D124" t="s">
        <v>20</v>
      </c>
      <c r="E124" t="s">
        <v>21</v>
      </c>
      <c r="F124" t="s">
        <v>15</v>
      </c>
      <c r="G124">
        <v>5</v>
      </c>
      <c r="H124" s="3">
        <v>850</v>
      </c>
      <c r="I124" s="3">
        <v>4250</v>
      </c>
      <c r="J124" t="s">
        <v>29</v>
      </c>
      <c r="K124" t="s">
        <v>37</v>
      </c>
      <c r="L124" t="str">
        <f t="shared" si="1"/>
        <v>Delta Enterprises</v>
      </c>
    </row>
    <row r="125" spans="1:12" x14ac:dyDescent="0.3">
      <c r="A125" t="s">
        <v>186</v>
      </c>
      <c r="B125" s="2">
        <v>45939</v>
      </c>
      <c r="C125" t="s">
        <v>52</v>
      </c>
      <c r="D125" t="s">
        <v>53</v>
      </c>
      <c r="E125" t="s">
        <v>27</v>
      </c>
      <c r="F125" t="s">
        <v>28</v>
      </c>
      <c r="G125">
        <v>4</v>
      </c>
      <c r="H125" s="3">
        <v>52550</v>
      </c>
      <c r="I125" s="3">
        <v>210200</v>
      </c>
      <c r="J125" t="s">
        <v>29</v>
      </c>
      <c r="K125" t="s">
        <v>33</v>
      </c>
      <c r="L125" t="str">
        <f t="shared" si="1"/>
        <v>Kaveri Stores</v>
      </c>
    </row>
    <row r="126" spans="1:12" x14ac:dyDescent="0.3">
      <c r="A126" t="s">
        <v>187</v>
      </c>
      <c r="B126" s="2">
        <v>45857</v>
      </c>
      <c r="C126" t="s">
        <v>31</v>
      </c>
      <c r="D126" t="s">
        <v>13</v>
      </c>
      <c r="E126" t="s">
        <v>64</v>
      </c>
      <c r="F126" t="s">
        <v>28</v>
      </c>
      <c r="G126">
        <v>6</v>
      </c>
      <c r="H126" s="3">
        <v>14690</v>
      </c>
      <c r="I126" s="3">
        <v>88140</v>
      </c>
      <c r="J126" t="s">
        <v>22</v>
      </c>
      <c r="K126" t="s">
        <v>17</v>
      </c>
      <c r="L126" t="str">
        <f t="shared" si="1"/>
        <v>Orbit Retail</v>
      </c>
    </row>
    <row r="127" spans="1:12" x14ac:dyDescent="0.3">
      <c r="A127" t="s">
        <v>188</v>
      </c>
      <c r="B127" s="2">
        <v>45768</v>
      </c>
      <c r="C127" t="s">
        <v>45</v>
      </c>
      <c r="D127" t="s">
        <v>20</v>
      </c>
      <c r="E127" t="s">
        <v>64</v>
      </c>
      <c r="F127" t="s">
        <v>28</v>
      </c>
      <c r="G127">
        <v>4</v>
      </c>
      <c r="H127" s="3">
        <v>14510</v>
      </c>
      <c r="I127" s="3">
        <v>58040</v>
      </c>
      <c r="J127" t="s">
        <v>16</v>
      </c>
      <c r="K127" t="s">
        <v>33</v>
      </c>
      <c r="L127" t="str">
        <f t="shared" si="1"/>
        <v>Horizon Distributors</v>
      </c>
    </row>
    <row r="128" spans="1:12" x14ac:dyDescent="0.3">
      <c r="A128" t="s">
        <v>189</v>
      </c>
      <c r="B128" s="2">
        <v>45950</v>
      </c>
      <c r="C128" t="s">
        <v>45</v>
      </c>
      <c r="D128" t="s">
        <v>53</v>
      </c>
      <c r="E128" t="s">
        <v>27</v>
      </c>
      <c r="F128" t="s">
        <v>28</v>
      </c>
      <c r="G128">
        <v>8</v>
      </c>
      <c r="H128" s="3">
        <v>54410</v>
      </c>
      <c r="I128" s="3">
        <v>435280</v>
      </c>
      <c r="J128" t="s">
        <v>22</v>
      </c>
      <c r="K128" t="s">
        <v>56</v>
      </c>
      <c r="L128" t="str">
        <f t="shared" si="1"/>
        <v>Horizon Distributors</v>
      </c>
    </row>
    <row r="129" spans="1:12" x14ac:dyDescent="0.3">
      <c r="A129" t="s">
        <v>190</v>
      </c>
      <c r="B129" s="2">
        <v>45686</v>
      </c>
      <c r="C129" t="s">
        <v>89</v>
      </c>
      <c r="D129" t="s">
        <v>20</v>
      </c>
      <c r="E129" t="s">
        <v>32</v>
      </c>
      <c r="F129" t="s">
        <v>28</v>
      </c>
      <c r="G129">
        <v>4</v>
      </c>
      <c r="H129" s="3">
        <v>27660</v>
      </c>
      <c r="I129" s="3">
        <v>110640</v>
      </c>
      <c r="J129" t="s">
        <v>29</v>
      </c>
      <c r="K129" t="s">
        <v>23</v>
      </c>
      <c r="L129" t="str">
        <f t="shared" si="1"/>
        <v>Nova Solutions</v>
      </c>
    </row>
    <row r="130" spans="1:12" x14ac:dyDescent="0.3">
      <c r="A130" t="s">
        <v>191</v>
      </c>
      <c r="B130" s="2">
        <v>46003</v>
      </c>
      <c r="C130" t="s">
        <v>89</v>
      </c>
      <c r="D130" t="s">
        <v>20</v>
      </c>
      <c r="E130" t="s">
        <v>39</v>
      </c>
      <c r="F130" t="s">
        <v>15</v>
      </c>
      <c r="G130">
        <v>1</v>
      </c>
      <c r="H130" s="3">
        <v>3060</v>
      </c>
      <c r="I130" s="3">
        <v>3060</v>
      </c>
      <c r="J130" t="s">
        <v>22</v>
      </c>
      <c r="K130" t="s">
        <v>56</v>
      </c>
      <c r="L130" t="str">
        <f t="shared" si="1"/>
        <v>Nova Solutions</v>
      </c>
    </row>
    <row r="131" spans="1:12" x14ac:dyDescent="0.3">
      <c r="A131" t="s">
        <v>192</v>
      </c>
      <c r="B131" s="2">
        <v>45806</v>
      </c>
      <c r="C131" t="s">
        <v>31</v>
      </c>
      <c r="D131" t="s">
        <v>26</v>
      </c>
      <c r="E131" t="s">
        <v>14</v>
      </c>
      <c r="F131" t="s">
        <v>15</v>
      </c>
      <c r="G131">
        <v>2</v>
      </c>
      <c r="H131" s="3">
        <v>1720</v>
      </c>
      <c r="I131" s="3">
        <v>3440</v>
      </c>
      <c r="J131" t="s">
        <v>29</v>
      </c>
      <c r="K131" t="s">
        <v>56</v>
      </c>
      <c r="L131" t="str">
        <f t="shared" ref="L131:L194" si="2">TRIM(C131)</f>
        <v>Orbit Retail</v>
      </c>
    </row>
    <row r="132" spans="1:12" x14ac:dyDescent="0.3">
      <c r="A132" t="s">
        <v>193</v>
      </c>
      <c r="B132" s="2">
        <v>45948</v>
      </c>
      <c r="C132" t="s">
        <v>66</v>
      </c>
      <c r="D132" t="s">
        <v>26</v>
      </c>
      <c r="E132" t="s">
        <v>64</v>
      </c>
      <c r="F132" t="s">
        <v>28</v>
      </c>
      <c r="G132">
        <v>5</v>
      </c>
      <c r="H132" s="3">
        <v>14740</v>
      </c>
      <c r="I132" s="3">
        <v>73700</v>
      </c>
      <c r="J132" t="s">
        <v>22</v>
      </c>
      <c r="K132" t="s">
        <v>17</v>
      </c>
      <c r="L132" t="str">
        <f t="shared" si="2"/>
        <v>Vertex Retail</v>
      </c>
    </row>
    <row r="133" spans="1:12" x14ac:dyDescent="0.3">
      <c r="A133" t="s">
        <v>194</v>
      </c>
      <c r="B133" s="2">
        <v>46004</v>
      </c>
      <c r="C133" t="s">
        <v>41</v>
      </c>
      <c r="D133" t="s">
        <v>20</v>
      </c>
      <c r="E133" t="s">
        <v>39</v>
      </c>
      <c r="F133" t="s">
        <v>15</v>
      </c>
      <c r="G133">
        <v>3</v>
      </c>
      <c r="H133" s="3">
        <v>3190</v>
      </c>
      <c r="I133" s="3">
        <v>9570</v>
      </c>
      <c r="J133" t="s">
        <v>16</v>
      </c>
      <c r="K133" t="s">
        <v>17</v>
      </c>
      <c r="L133" t="str">
        <f t="shared" si="2"/>
        <v>QuickBuy Pvt Ltd</v>
      </c>
    </row>
    <row r="134" spans="1:12" x14ac:dyDescent="0.3">
      <c r="A134" t="s">
        <v>195</v>
      </c>
      <c r="B134" s="2">
        <v>45837</v>
      </c>
      <c r="C134" t="s">
        <v>69</v>
      </c>
      <c r="D134" t="s">
        <v>26</v>
      </c>
      <c r="E134" t="s">
        <v>21</v>
      </c>
      <c r="F134" t="s">
        <v>15</v>
      </c>
      <c r="G134">
        <v>1</v>
      </c>
      <c r="H134" s="3">
        <v>850</v>
      </c>
      <c r="I134" s="3">
        <v>850</v>
      </c>
      <c r="J134" t="s">
        <v>29</v>
      </c>
      <c r="K134" t="s">
        <v>56</v>
      </c>
      <c r="L134" t="str">
        <f t="shared" si="2"/>
        <v>Future Mart</v>
      </c>
    </row>
    <row r="135" spans="1:12" x14ac:dyDescent="0.3">
      <c r="A135" t="s">
        <v>196</v>
      </c>
      <c r="B135" s="2">
        <v>45706</v>
      </c>
      <c r="C135" t="s">
        <v>12</v>
      </c>
      <c r="D135" t="s">
        <v>26</v>
      </c>
      <c r="E135" t="s">
        <v>55</v>
      </c>
      <c r="F135" t="s">
        <v>47</v>
      </c>
      <c r="G135">
        <v>2</v>
      </c>
      <c r="H135" s="3">
        <v>8120</v>
      </c>
      <c r="I135" s="3">
        <v>16240</v>
      </c>
      <c r="J135" t="s">
        <v>29</v>
      </c>
      <c r="K135" t="s">
        <v>56</v>
      </c>
      <c r="L135" t="str">
        <f t="shared" si="2"/>
        <v>Galaxy Tech</v>
      </c>
    </row>
    <row r="136" spans="1:12" x14ac:dyDescent="0.3">
      <c r="A136" t="s">
        <v>197</v>
      </c>
      <c r="B136" s="2">
        <v>46017</v>
      </c>
      <c r="C136" t="s">
        <v>41</v>
      </c>
      <c r="D136" t="s">
        <v>53</v>
      </c>
      <c r="E136" t="s">
        <v>35</v>
      </c>
      <c r="F136" t="s">
        <v>36</v>
      </c>
      <c r="G136">
        <v>6</v>
      </c>
      <c r="H136" s="3">
        <v>12570</v>
      </c>
      <c r="I136" s="3">
        <v>75420</v>
      </c>
      <c r="J136" t="s">
        <v>29</v>
      </c>
      <c r="K136" t="s">
        <v>50</v>
      </c>
      <c r="L136" t="str">
        <f t="shared" si="2"/>
        <v>QuickBuy Pvt Ltd</v>
      </c>
    </row>
    <row r="137" spans="1:12" x14ac:dyDescent="0.3">
      <c r="A137" t="s">
        <v>198</v>
      </c>
      <c r="B137" s="2">
        <v>45975</v>
      </c>
      <c r="C137" t="s">
        <v>41</v>
      </c>
      <c r="D137" t="s">
        <v>26</v>
      </c>
      <c r="E137" t="s">
        <v>21</v>
      </c>
      <c r="F137" t="s">
        <v>15</v>
      </c>
      <c r="G137">
        <v>3</v>
      </c>
      <c r="H137" s="3">
        <v>940</v>
      </c>
      <c r="I137" s="3">
        <v>2820</v>
      </c>
      <c r="J137" t="s">
        <v>29</v>
      </c>
      <c r="K137" t="s">
        <v>23</v>
      </c>
      <c r="L137" t="str">
        <f t="shared" si="2"/>
        <v>QuickBuy Pvt Ltd</v>
      </c>
    </row>
    <row r="138" spans="1:12" x14ac:dyDescent="0.3">
      <c r="A138" t="s">
        <v>199</v>
      </c>
      <c r="B138" s="2">
        <v>45832</v>
      </c>
      <c r="C138" t="s">
        <v>43</v>
      </c>
      <c r="D138" t="s">
        <v>13</v>
      </c>
      <c r="E138" t="s">
        <v>55</v>
      </c>
      <c r="F138" t="s">
        <v>47</v>
      </c>
      <c r="G138">
        <v>4</v>
      </c>
      <c r="H138" s="3">
        <v>8220</v>
      </c>
      <c r="I138" s="3">
        <v>32880</v>
      </c>
      <c r="J138" t="s">
        <v>22</v>
      </c>
      <c r="K138" t="s">
        <v>33</v>
      </c>
      <c r="L138" t="str">
        <f t="shared" si="2"/>
        <v>Royal Traders</v>
      </c>
    </row>
    <row r="139" spans="1:12" x14ac:dyDescent="0.3">
      <c r="A139" t="s">
        <v>200</v>
      </c>
      <c r="B139" s="2">
        <v>45789</v>
      </c>
      <c r="C139" t="s">
        <v>60</v>
      </c>
      <c r="D139" t="s">
        <v>20</v>
      </c>
      <c r="E139" t="s">
        <v>35</v>
      </c>
      <c r="F139" t="s">
        <v>36</v>
      </c>
      <c r="G139">
        <v>3</v>
      </c>
      <c r="H139" s="3">
        <v>13030</v>
      </c>
      <c r="I139" s="3">
        <v>39090</v>
      </c>
      <c r="J139" t="s">
        <v>29</v>
      </c>
      <c r="K139" t="s">
        <v>17</v>
      </c>
      <c r="L139" t="str">
        <f t="shared" si="2"/>
        <v>Alpha Traders</v>
      </c>
    </row>
    <row r="140" spans="1:12" x14ac:dyDescent="0.3">
      <c r="A140" t="s">
        <v>201</v>
      </c>
      <c r="B140" s="2">
        <v>45744</v>
      </c>
      <c r="C140" t="s">
        <v>43</v>
      </c>
      <c r="D140" t="s">
        <v>53</v>
      </c>
      <c r="E140" t="s">
        <v>14</v>
      </c>
      <c r="F140" t="s">
        <v>15</v>
      </c>
      <c r="G140">
        <v>2</v>
      </c>
      <c r="H140" s="3">
        <v>1840</v>
      </c>
      <c r="I140" s="3">
        <v>3680</v>
      </c>
      <c r="J140" t="s">
        <v>29</v>
      </c>
      <c r="K140" t="s">
        <v>56</v>
      </c>
      <c r="L140" t="str">
        <f t="shared" si="2"/>
        <v>Royal Traders</v>
      </c>
    </row>
    <row r="141" spans="1:12" x14ac:dyDescent="0.3">
      <c r="A141" t="s">
        <v>202</v>
      </c>
      <c r="B141" s="2">
        <v>45912</v>
      </c>
      <c r="C141" t="s">
        <v>45</v>
      </c>
      <c r="D141" t="s">
        <v>13</v>
      </c>
      <c r="E141" t="s">
        <v>35</v>
      </c>
      <c r="F141" t="s">
        <v>36</v>
      </c>
      <c r="G141">
        <v>2</v>
      </c>
      <c r="H141" s="3">
        <v>11890</v>
      </c>
      <c r="I141" s="3">
        <v>23780</v>
      </c>
      <c r="J141" t="s">
        <v>29</v>
      </c>
      <c r="K141" t="s">
        <v>50</v>
      </c>
      <c r="L141" t="str">
        <f t="shared" si="2"/>
        <v>Horizon Distributors</v>
      </c>
    </row>
    <row r="142" spans="1:12" x14ac:dyDescent="0.3">
      <c r="A142" t="s">
        <v>203</v>
      </c>
      <c r="B142" s="2">
        <v>45948</v>
      </c>
      <c r="C142" t="s">
        <v>89</v>
      </c>
      <c r="D142" t="s">
        <v>20</v>
      </c>
      <c r="E142" t="s">
        <v>64</v>
      </c>
      <c r="F142" t="s">
        <v>28</v>
      </c>
      <c r="G142">
        <v>4</v>
      </c>
      <c r="H142" s="3">
        <v>13890</v>
      </c>
      <c r="I142" s="3">
        <v>55560</v>
      </c>
      <c r="J142" t="s">
        <v>22</v>
      </c>
      <c r="K142" t="s">
        <v>17</v>
      </c>
      <c r="L142" t="str">
        <f t="shared" si="2"/>
        <v>Nova Solutions</v>
      </c>
    </row>
    <row r="143" spans="1:12" x14ac:dyDescent="0.3">
      <c r="A143" t="s">
        <v>204</v>
      </c>
      <c r="B143" s="2">
        <v>45880</v>
      </c>
      <c r="C143" t="s">
        <v>80</v>
      </c>
      <c r="D143" t="s">
        <v>13</v>
      </c>
      <c r="E143" t="s">
        <v>39</v>
      </c>
      <c r="F143" t="s">
        <v>15</v>
      </c>
      <c r="G143">
        <v>8</v>
      </c>
      <c r="H143" s="3">
        <v>3020</v>
      </c>
      <c r="I143" s="3">
        <v>24160</v>
      </c>
      <c r="J143" t="s">
        <v>16</v>
      </c>
      <c r="K143" t="s">
        <v>37</v>
      </c>
      <c r="L143" t="str">
        <f t="shared" si="2"/>
        <v>Prime Distributors</v>
      </c>
    </row>
    <row r="144" spans="1:12" x14ac:dyDescent="0.3">
      <c r="A144" t="s">
        <v>205</v>
      </c>
      <c r="B144" s="2">
        <v>45693</v>
      </c>
      <c r="C144" t="s">
        <v>377</v>
      </c>
      <c r="D144" t="s">
        <v>13</v>
      </c>
      <c r="E144" t="s">
        <v>27</v>
      </c>
      <c r="F144" t="s">
        <v>28</v>
      </c>
      <c r="G144">
        <v>2</v>
      </c>
      <c r="H144" s="3">
        <v>48060</v>
      </c>
      <c r="I144" s="3">
        <v>96120</v>
      </c>
      <c r="J144" t="s">
        <v>29</v>
      </c>
      <c r="K144" t="s">
        <v>50</v>
      </c>
      <c r="L144" t="str">
        <f t="shared" si="2"/>
        <v>Unknown</v>
      </c>
    </row>
    <row r="145" spans="1:12" x14ac:dyDescent="0.3">
      <c r="A145" t="s">
        <v>206</v>
      </c>
      <c r="B145" s="2">
        <v>45776</v>
      </c>
      <c r="C145" t="s">
        <v>25</v>
      </c>
      <c r="D145" t="s">
        <v>20</v>
      </c>
      <c r="E145" t="s">
        <v>14</v>
      </c>
      <c r="F145" t="s">
        <v>15</v>
      </c>
      <c r="G145">
        <v>2</v>
      </c>
      <c r="H145" s="3">
        <v>1770</v>
      </c>
      <c r="I145" s="3">
        <v>3540</v>
      </c>
      <c r="J145" t="s">
        <v>29</v>
      </c>
      <c r="K145" t="s">
        <v>50</v>
      </c>
      <c r="L145" t="str">
        <f t="shared" si="2"/>
        <v>Lotus Enterprises</v>
      </c>
    </row>
    <row r="146" spans="1:12" x14ac:dyDescent="0.3">
      <c r="A146" t="s">
        <v>207</v>
      </c>
      <c r="B146" s="2">
        <v>46012</v>
      </c>
      <c r="C146" t="s">
        <v>66</v>
      </c>
      <c r="D146" t="s">
        <v>13</v>
      </c>
      <c r="E146" t="s">
        <v>21</v>
      </c>
      <c r="F146" t="s">
        <v>15</v>
      </c>
      <c r="G146">
        <v>3</v>
      </c>
      <c r="H146" s="3">
        <v>890</v>
      </c>
      <c r="I146" s="3">
        <v>2670</v>
      </c>
      <c r="J146" t="s">
        <v>22</v>
      </c>
      <c r="K146" t="s">
        <v>33</v>
      </c>
      <c r="L146" t="str">
        <f t="shared" si="2"/>
        <v>Vertex Retail</v>
      </c>
    </row>
    <row r="147" spans="1:12" x14ac:dyDescent="0.3">
      <c r="A147" t="s">
        <v>208</v>
      </c>
      <c r="B147" s="2">
        <v>45872</v>
      </c>
      <c r="C147" t="s">
        <v>41</v>
      </c>
      <c r="D147" t="s">
        <v>13</v>
      </c>
      <c r="E147" t="s">
        <v>64</v>
      </c>
      <c r="F147" t="s">
        <v>28</v>
      </c>
      <c r="G147">
        <v>6</v>
      </c>
      <c r="H147" s="3">
        <v>14470</v>
      </c>
      <c r="I147" s="3">
        <v>86820</v>
      </c>
      <c r="J147" t="s">
        <v>16</v>
      </c>
      <c r="K147" t="s">
        <v>56</v>
      </c>
      <c r="L147" t="str">
        <f t="shared" si="2"/>
        <v>QuickBuy Pvt Ltd</v>
      </c>
    </row>
    <row r="148" spans="1:12" x14ac:dyDescent="0.3">
      <c r="A148" t="s">
        <v>209</v>
      </c>
      <c r="B148" s="2">
        <v>46016</v>
      </c>
      <c r="C148" t="s">
        <v>93</v>
      </c>
      <c r="D148" t="s">
        <v>13</v>
      </c>
      <c r="E148" t="s">
        <v>14</v>
      </c>
      <c r="F148" t="s">
        <v>15</v>
      </c>
      <c r="G148">
        <v>3</v>
      </c>
      <c r="H148" s="3">
        <v>1840</v>
      </c>
      <c r="I148" s="3">
        <v>5520</v>
      </c>
      <c r="J148" t="s">
        <v>22</v>
      </c>
      <c r="K148" t="s">
        <v>17</v>
      </c>
      <c r="L148" t="str">
        <f t="shared" si="2"/>
        <v>Iconic Retail</v>
      </c>
    </row>
    <row r="149" spans="1:12" x14ac:dyDescent="0.3">
      <c r="A149" t="s">
        <v>210</v>
      </c>
      <c r="B149" s="2">
        <v>45755</v>
      </c>
      <c r="C149" t="s">
        <v>75</v>
      </c>
      <c r="D149" t="s">
        <v>53</v>
      </c>
      <c r="E149" t="s">
        <v>21</v>
      </c>
      <c r="F149" t="s">
        <v>15</v>
      </c>
      <c r="G149">
        <v>1</v>
      </c>
      <c r="H149" s="3">
        <v>960</v>
      </c>
      <c r="I149" s="3">
        <v>960</v>
      </c>
      <c r="J149" t="s">
        <v>22</v>
      </c>
      <c r="K149" t="s">
        <v>37</v>
      </c>
      <c r="L149" t="str">
        <f t="shared" si="2"/>
        <v>Evergreen Stores</v>
      </c>
    </row>
    <row r="150" spans="1:12" x14ac:dyDescent="0.3">
      <c r="A150" t="s">
        <v>211</v>
      </c>
      <c r="B150" s="2">
        <v>45691</v>
      </c>
      <c r="C150" t="s">
        <v>41</v>
      </c>
      <c r="D150" t="s">
        <v>26</v>
      </c>
      <c r="E150" t="s">
        <v>35</v>
      </c>
      <c r="F150" t="s">
        <v>36</v>
      </c>
      <c r="G150">
        <v>5</v>
      </c>
      <c r="H150" s="3">
        <v>12500</v>
      </c>
      <c r="I150" s="3">
        <v>62500</v>
      </c>
      <c r="J150" t="s">
        <v>29</v>
      </c>
      <c r="K150" t="s">
        <v>23</v>
      </c>
      <c r="L150" t="str">
        <f t="shared" si="2"/>
        <v>QuickBuy Pvt Ltd</v>
      </c>
    </row>
    <row r="151" spans="1:12" x14ac:dyDescent="0.3">
      <c r="A151" t="s">
        <v>212</v>
      </c>
      <c r="B151" s="2">
        <v>45684</v>
      </c>
      <c r="C151" t="s">
        <v>69</v>
      </c>
      <c r="D151" t="s">
        <v>53</v>
      </c>
      <c r="E151" t="s">
        <v>55</v>
      </c>
      <c r="F151" t="s">
        <v>47</v>
      </c>
      <c r="G151">
        <v>2</v>
      </c>
      <c r="H151" s="3">
        <v>7830</v>
      </c>
      <c r="I151" s="3">
        <v>15660</v>
      </c>
      <c r="J151" t="s">
        <v>22</v>
      </c>
      <c r="K151" t="s">
        <v>33</v>
      </c>
      <c r="L151" t="str">
        <f t="shared" si="2"/>
        <v>Future Mart</v>
      </c>
    </row>
    <row r="152" spans="1:12" x14ac:dyDescent="0.3">
      <c r="A152" t="s">
        <v>213</v>
      </c>
      <c r="B152" s="2">
        <v>45847</v>
      </c>
      <c r="C152" t="s">
        <v>89</v>
      </c>
      <c r="D152" t="s">
        <v>20</v>
      </c>
      <c r="E152" t="s">
        <v>32</v>
      </c>
      <c r="F152" t="s">
        <v>28</v>
      </c>
      <c r="G152">
        <v>3</v>
      </c>
      <c r="H152" s="3">
        <v>28330</v>
      </c>
      <c r="I152" s="3">
        <v>84990</v>
      </c>
      <c r="J152" t="s">
        <v>22</v>
      </c>
      <c r="K152" t="s">
        <v>33</v>
      </c>
      <c r="L152" t="str">
        <f t="shared" si="2"/>
        <v>Nova Solutions</v>
      </c>
    </row>
    <row r="153" spans="1:12" x14ac:dyDescent="0.3">
      <c r="A153" t="s">
        <v>214</v>
      </c>
      <c r="B153" s="2">
        <v>45939</v>
      </c>
      <c r="C153" t="s">
        <v>52</v>
      </c>
      <c r="D153" t="s">
        <v>20</v>
      </c>
      <c r="E153" t="s">
        <v>39</v>
      </c>
      <c r="F153" t="s">
        <v>15</v>
      </c>
      <c r="G153">
        <v>2</v>
      </c>
      <c r="H153" s="3">
        <v>2990</v>
      </c>
      <c r="I153" s="3">
        <v>5980</v>
      </c>
      <c r="J153" t="s">
        <v>16</v>
      </c>
      <c r="K153" t="s">
        <v>33</v>
      </c>
      <c r="L153" t="str">
        <f t="shared" si="2"/>
        <v>Kaveri Stores</v>
      </c>
    </row>
    <row r="154" spans="1:12" x14ac:dyDescent="0.3">
      <c r="A154" t="s">
        <v>215</v>
      </c>
      <c r="B154" s="2">
        <v>45755</v>
      </c>
      <c r="C154" t="s">
        <v>31</v>
      </c>
      <c r="D154" t="s">
        <v>20</v>
      </c>
      <c r="E154" t="s">
        <v>98</v>
      </c>
      <c r="F154" t="s">
        <v>15</v>
      </c>
      <c r="G154">
        <v>2</v>
      </c>
      <c r="H154" s="3">
        <v>2220</v>
      </c>
      <c r="I154" s="3">
        <v>4440</v>
      </c>
      <c r="J154" t="s">
        <v>22</v>
      </c>
      <c r="K154" t="s">
        <v>23</v>
      </c>
      <c r="L154" t="str">
        <f t="shared" si="2"/>
        <v>Orbit Retail</v>
      </c>
    </row>
    <row r="155" spans="1:12" x14ac:dyDescent="0.3">
      <c r="A155" t="s">
        <v>216</v>
      </c>
      <c r="B155" s="2">
        <v>45805</v>
      </c>
      <c r="C155" t="s">
        <v>101</v>
      </c>
      <c r="D155" t="s">
        <v>53</v>
      </c>
      <c r="E155" t="s">
        <v>98</v>
      </c>
      <c r="F155" t="s">
        <v>15</v>
      </c>
      <c r="G155">
        <v>2</v>
      </c>
      <c r="H155" s="3">
        <v>2030</v>
      </c>
      <c r="I155" s="3">
        <v>4060</v>
      </c>
      <c r="J155" t="s">
        <v>16</v>
      </c>
      <c r="K155" t="s">
        <v>56</v>
      </c>
      <c r="L155" t="str">
        <f t="shared" si="2"/>
        <v>Sunrise Enterprises</v>
      </c>
    </row>
    <row r="156" spans="1:12" x14ac:dyDescent="0.3">
      <c r="A156" t="s">
        <v>217</v>
      </c>
      <c r="B156" s="2">
        <v>45811</v>
      </c>
      <c r="C156" t="s">
        <v>19</v>
      </c>
      <c r="D156" t="s">
        <v>26</v>
      </c>
      <c r="E156" t="s">
        <v>35</v>
      </c>
      <c r="F156" t="s">
        <v>36</v>
      </c>
      <c r="G156">
        <v>4</v>
      </c>
      <c r="H156" s="3">
        <v>12170</v>
      </c>
      <c r="I156" s="3">
        <v>48680</v>
      </c>
      <c r="J156" t="s">
        <v>29</v>
      </c>
      <c r="K156" t="s">
        <v>56</v>
      </c>
      <c r="L156" t="str">
        <f t="shared" si="2"/>
        <v>Bright Solutions</v>
      </c>
    </row>
    <row r="157" spans="1:12" x14ac:dyDescent="0.3">
      <c r="A157" t="s">
        <v>218</v>
      </c>
      <c r="B157" s="2">
        <v>45761</v>
      </c>
      <c r="C157" t="s">
        <v>103</v>
      </c>
      <c r="D157" t="s">
        <v>20</v>
      </c>
      <c r="E157" t="s">
        <v>14</v>
      </c>
      <c r="F157" t="s">
        <v>15</v>
      </c>
      <c r="G157">
        <v>3</v>
      </c>
      <c r="H157" s="3">
        <v>1860</v>
      </c>
      <c r="I157" s="3">
        <v>5580</v>
      </c>
      <c r="J157" t="s">
        <v>16</v>
      </c>
      <c r="K157" t="s">
        <v>17</v>
      </c>
      <c r="L157" t="str">
        <f t="shared" si="2"/>
        <v>Jupiter Systems</v>
      </c>
    </row>
    <row r="158" spans="1:12" x14ac:dyDescent="0.3">
      <c r="A158" t="s">
        <v>220</v>
      </c>
      <c r="B158" s="2">
        <v>45759</v>
      </c>
      <c r="C158" t="s">
        <v>19</v>
      </c>
      <c r="D158" t="s">
        <v>20</v>
      </c>
      <c r="E158" t="s">
        <v>55</v>
      </c>
      <c r="F158" t="s">
        <v>47</v>
      </c>
      <c r="G158">
        <v>5</v>
      </c>
      <c r="H158" s="3">
        <v>8760</v>
      </c>
      <c r="I158" s="3">
        <v>43800</v>
      </c>
      <c r="J158" t="s">
        <v>16</v>
      </c>
      <c r="K158" t="s">
        <v>50</v>
      </c>
      <c r="L158" t="str">
        <f t="shared" si="2"/>
        <v>Bright Solutions</v>
      </c>
    </row>
    <row r="159" spans="1:12" x14ac:dyDescent="0.3">
      <c r="A159" t="s">
        <v>221</v>
      </c>
      <c r="B159" s="2">
        <v>45987</v>
      </c>
      <c r="C159" t="s">
        <v>41</v>
      </c>
      <c r="D159" t="s">
        <v>53</v>
      </c>
      <c r="E159" t="s">
        <v>27</v>
      </c>
      <c r="F159" t="s">
        <v>28</v>
      </c>
      <c r="G159">
        <v>8</v>
      </c>
      <c r="H159" s="3">
        <v>48980</v>
      </c>
      <c r="I159" s="3">
        <v>391840</v>
      </c>
      <c r="J159" t="s">
        <v>22</v>
      </c>
      <c r="K159" t="s">
        <v>17</v>
      </c>
      <c r="L159" t="str">
        <f t="shared" si="2"/>
        <v>QuickBuy Pvt Ltd</v>
      </c>
    </row>
    <row r="160" spans="1:12" x14ac:dyDescent="0.3">
      <c r="A160" t="s">
        <v>222</v>
      </c>
      <c r="B160" s="2">
        <v>45855</v>
      </c>
      <c r="C160" t="s">
        <v>45</v>
      </c>
      <c r="D160" t="s">
        <v>26</v>
      </c>
      <c r="E160" t="s">
        <v>98</v>
      </c>
      <c r="F160" t="s">
        <v>15</v>
      </c>
      <c r="G160">
        <v>5</v>
      </c>
      <c r="H160" s="3">
        <v>2260</v>
      </c>
      <c r="I160" s="3">
        <v>11300</v>
      </c>
      <c r="J160" t="s">
        <v>22</v>
      </c>
      <c r="K160" t="s">
        <v>56</v>
      </c>
      <c r="L160" t="str">
        <f t="shared" si="2"/>
        <v>Horizon Distributors</v>
      </c>
    </row>
    <row r="161" spans="1:12" x14ac:dyDescent="0.3">
      <c r="A161" t="s">
        <v>223</v>
      </c>
      <c r="B161" s="2">
        <v>45683</v>
      </c>
      <c r="C161" t="s">
        <v>31</v>
      </c>
      <c r="D161" t="s">
        <v>20</v>
      </c>
      <c r="E161" t="s">
        <v>32</v>
      </c>
      <c r="F161" t="s">
        <v>28</v>
      </c>
      <c r="G161">
        <v>4</v>
      </c>
      <c r="H161" s="3">
        <v>25990</v>
      </c>
      <c r="I161" s="3">
        <v>103960</v>
      </c>
      <c r="J161" t="s">
        <v>22</v>
      </c>
      <c r="K161" t="s">
        <v>56</v>
      </c>
      <c r="L161" t="str">
        <f t="shared" si="2"/>
        <v>Orbit Retail</v>
      </c>
    </row>
    <row r="162" spans="1:12" x14ac:dyDescent="0.3">
      <c r="A162" t="s">
        <v>224</v>
      </c>
      <c r="B162" s="2">
        <v>45927</v>
      </c>
      <c r="C162" t="s">
        <v>31</v>
      </c>
      <c r="D162" t="s">
        <v>26</v>
      </c>
      <c r="E162" t="s">
        <v>64</v>
      </c>
      <c r="F162" t="s">
        <v>28</v>
      </c>
      <c r="G162">
        <v>3</v>
      </c>
      <c r="H162" s="3">
        <v>15460</v>
      </c>
      <c r="I162" s="3">
        <v>46380</v>
      </c>
      <c r="J162" t="s">
        <v>16</v>
      </c>
      <c r="K162" t="s">
        <v>56</v>
      </c>
      <c r="L162" t="str">
        <f t="shared" si="2"/>
        <v>Orbit Retail</v>
      </c>
    </row>
    <row r="163" spans="1:12" x14ac:dyDescent="0.3">
      <c r="A163" t="s">
        <v>225</v>
      </c>
      <c r="B163" s="2">
        <v>45739</v>
      </c>
      <c r="C163" t="s">
        <v>66</v>
      </c>
      <c r="D163" t="s">
        <v>53</v>
      </c>
      <c r="E163" t="s">
        <v>64</v>
      </c>
      <c r="F163" t="s">
        <v>28</v>
      </c>
      <c r="G163">
        <v>1</v>
      </c>
      <c r="H163" s="3">
        <v>14320</v>
      </c>
      <c r="I163" s="3">
        <v>14320</v>
      </c>
      <c r="J163" t="s">
        <v>16</v>
      </c>
      <c r="K163" t="s">
        <v>37</v>
      </c>
      <c r="L163" t="str">
        <f t="shared" si="2"/>
        <v>Vertex Retail</v>
      </c>
    </row>
    <row r="164" spans="1:12" x14ac:dyDescent="0.3">
      <c r="A164" t="s">
        <v>226</v>
      </c>
      <c r="B164" s="2">
        <v>45809</v>
      </c>
      <c r="C164" t="s">
        <v>85</v>
      </c>
      <c r="D164" t="s">
        <v>20</v>
      </c>
      <c r="E164" t="s">
        <v>35</v>
      </c>
      <c r="F164" t="s">
        <v>36</v>
      </c>
      <c r="G164">
        <v>4</v>
      </c>
      <c r="H164" s="3">
        <v>12800</v>
      </c>
      <c r="I164" s="3">
        <v>51200</v>
      </c>
      <c r="J164" t="s">
        <v>29</v>
      </c>
      <c r="K164" t="s">
        <v>37</v>
      </c>
      <c r="L164" t="str">
        <f t="shared" si="2"/>
        <v>Crest Retail</v>
      </c>
    </row>
    <row r="165" spans="1:12" x14ac:dyDescent="0.3">
      <c r="A165" t="s">
        <v>227</v>
      </c>
      <c r="B165" s="2">
        <v>46021</v>
      </c>
      <c r="C165" t="s">
        <v>12</v>
      </c>
      <c r="D165" t="s">
        <v>53</v>
      </c>
      <c r="E165" t="s">
        <v>46</v>
      </c>
      <c r="F165" t="s">
        <v>47</v>
      </c>
      <c r="G165">
        <v>3</v>
      </c>
      <c r="H165" s="3">
        <v>11890</v>
      </c>
      <c r="I165" s="3">
        <v>35670</v>
      </c>
      <c r="J165" t="s">
        <v>29</v>
      </c>
      <c r="K165" t="s">
        <v>33</v>
      </c>
      <c r="L165" t="str">
        <f t="shared" si="2"/>
        <v>Galaxy Tech</v>
      </c>
    </row>
    <row r="166" spans="1:12" x14ac:dyDescent="0.3">
      <c r="A166" t="s">
        <v>228</v>
      </c>
      <c r="B166" s="2">
        <v>45673</v>
      </c>
      <c r="C166" t="s">
        <v>49</v>
      </c>
      <c r="D166" t="s">
        <v>13</v>
      </c>
      <c r="E166" t="s">
        <v>55</v>
      </c>
      <c r="F166" t="s">
        <v>47</v>
      </c>
      <c r="G166">
        <v>2</v>
      </c>
      <c r="H166" s="3">
        <v>8670</v>
      </c>
      <c r="I166" s="3">
        <v>17340</v>
      </c>
      <c r="J166" t="s">
        <v>22</v>
      </c>
      <c r="K166" t="s">
        <v>37</v>
      </c>
      <c r="L166" t="str">
        <f t="shared" si="2"/>
        <v>Metro Mart</v>
      </c>
    </row>
    <row r="167" spans="1:12" x14ac:dyDescent="0.3">
      <c r="A167" t="s">
        <v>229</v>
      </c>
      <c r="B167" s="2">
        <v>45904</v>
      </c>
      <c r="C167" t="s">
        <v>49</v>
      </c>
      <c r="D167" t="s">
        <v>26</v>
      </c>
      <c r="E167" t="s">
        <v>27</v>
      </c>
      <c r="F167" t="s">
        <v>28</v>
      </c>
      <c r="G167">
        <v>6</v>
      </c>
      <c r="H167" s="3">
        <v>48020</v>
      </c>
      <c r="I167" s="3">
        <v>288120</v>
      </c>
      <c r="J167" t="s">
        <v>22</v>
      </c>
      <c r="K167" t="s">
        <v>17</v>
      </c>
      <c r="L167" t="str">
        <f t="shared" si="2"/>
        <v>Metro Mart</v>
      </c>
    </row>
    <row r="168" spans="1:12" x14ac:dyDescent="0.3">
      <c r="A168" t="s">
        <v>230</v>
      </c>
      <c r="B168" s="2">
        <v>45975</v>
      </c>
      <c r="C168" t="s">
        <v>25</v>
      </c>
      <c r="D168" t="s">
        <v>26</v>
      </c>
      <c r="E168" t="s">
        <v>27</v>
      </c>
      <c r="F168" t="s">
        <v>28</v>
      </c>
      <c r="G168">
        <v>1</v>
      </c>
      <c r="H168" s="3">
        <v>48280</v>
      </c>
      <c r="I168" s="3">
        <v>48280</v>
      </c>
      <c r="J168" t="s">
        <v>16</v>
      </c>
      <c r="K168" t="s">
        <v>56</v>
      </c>
      <c r="L168" t="str">
        <f t="shared" si="2"/>
        <v>Lotus Enterprises</v>
      </c>
    </row>
    <row r="169" spans="1:12" x14ac:dyDescent="0.3">
      <c r="A169" t="s">
        <v>231</v>
      </c>
      <c r="B169" s="2">
        <v>45722</v>
      </c>
      <c r="C169" t="s">
        <v>41</v>
      </c>
      <c r="D169" t="s">
        <v>53</v>
      </c>
      <c r="E169" t="s">
        <v>55</v>
      </c>
      <c r="F169" t="s">
        <v>47</v>
      </c>
      <c r="G169">
        <v>3</v>
      </c>
      <c r="H169" s="3">
        <v>8390</v>
      </c>
      <c r="I169" s="3">
        <v>25170</v>
      </c>
      <c r="J169" t="s">
        <v>29</v>
      </c>
      <c r="K169" t="s">
        <v>23</v>
      </c>
      <c r="L169" t="str">
        <f t="shared" si="2"/>
        <v>QuickBuy Pvt Ltd</v>
      </c>
    </row>
    <row r="170" spans="1:12" x14ac:dyDescent="0.3">
      <c r="A170" t="s">
        <v>232</v>
      </c>
      <c r="B170" s="2">
        <v>45950</v>
      </c>
      <c r="C170" t="s">
        <v>80</v>
      </c>
      <c r="D170" t="s">
        <v>26</v>
      </c>
      <c r="E170" t="s">
        <v>14</v>
      </c>
      <c r="F170" t="s">
        <v>15</v>
      </c>
      <c r="G170">
        <v>6</v>
      </c>
      <c r="H170" s="3">
        <v>1860</v>
      </c>
      <c r="I170" s="3">
        <v>11160</v>
      </c>
      <c r="J170" t="s">
        <v>29</v>
      </c>
      <c r="K170" t="s">
        <v>23</v>
      </c>
      <c r="L170" t="str">
        <f t="shared" si="2"/>
        <v>Prime Distributors</v>
      </c>
    </row>
    <row r="171" spans="1:12" x14ac:dyDescent="0.3">
      <c r="A171" t="s">
        <v>233</v>
      </c>
      <c r="B171" s="2">
        <v>45797</v>
      </c>
      <c r="C171" t="s">
        <v>75</v>
      </c>
      <c r="D171" t="s">
        <v>26</v>
      </c>
      <c r="E171" t="s">
        <v>27</v>
      </c>
      <c r="F171" t="s">
        <v>28</v>
      </c>
      <c r="G171">
        <v>1</v>
      </c>
      <c r="H171" s="3">
        <v>51100</v>
      </c>
      <c r="I171" s="3">
        <v>51100</v>
      </c>
      <c r="J171" t="s">
        <v>29</v>
      </c>
      <c r="K171" t="s">
        <v>17</v>
      </c>
      <c r="L171" t="str">
        <f t="shared" si="2"/>
        <v>Evergreen Stores</v>
      </c>
    </row>
    <row r="172" spans="1:12" x14ac:dyDescent="0.3">
      <c r="A172" t="s">
        <v>234</v>
      </c>
      <c r="B172" s="2">
        <v>46001</v>
      </c>
      <c r="C172" t="s">
        <v>52</v>
      </c>
      <c r="D172" t="s">
        <v>13</v>
      </c>
      <c r="E172" t="s">
        <v>32</v>
      </c>
      <c r="F172" t="s">
        <v>28</v>
      </c>
      <c r="G172">
        <v>10</v>
      </c>
      <c r="H172" s="3">
        <v>29720</v>
      </c>
      <c r="I172" s="3">
        <v>297200</v>
      </c>
      <c r="J172" t="s">
        <v>29</v>
      </c>
      <c r="K172" t="s">
        <v>37</v>
      </c>
      <c r="L172" t="str">
        <f t="shared" si="2"/>
        <v>Kaveri Stores</v>
      </c>
    </row>
    <row r="173" spans="1:12" x14ac:dyDescent="0.3">
      <c r="A173" t="s">
        <v>235</v>
      </c>
      <c r="B173" s="2">
        <v>45805</v>
      </c>
      <c r="C173" t="s">
        <v>101</v>
      </c>
      <c r="D173" t="s">
        <v>26</v>
      </c>
      <c r="E173" t="s">
        <v>64</v>
      </c>
      <c r="F173" t="s">
        <v>28</v>
      </c>
      <c r="G173">
        <v>10</v>
      </c>
      <c r="H173" s="3">
        <v>13880</v>
      </c>
      <c r="I173" s="3">
        <v>138800</v>
      </c>
      <c r="J173" t="s">
        <v>22</v>
      </c>
      <c r="K173" t="s">
        <v>37</v>
      </c>
      <c r="L173" t="str">
        <f t="shared" si="2"/>
        <v>Sunrise Enterprises</v>
      </c>
    </row>
    <row r="174" spans="1:12" x14ac:dyDescent="0.3">
      <c r="A174" t="s">
        <v>236</v>
      </c>
      <c r="B174" s="2">
        <v>45916</v>
      </c>
      <c r="C174" t="s">
        <v>69</v>
      </c>
      <c r="D174" t="s">
        <v>26</v>
      </c>
      <c r="E174" t="s">
        <v>27</v>
      </c>
      <c r="F174" t="s">
        <v>28</v>
      </c>
      <c r="G174">
        <v>2</v>
      </c>
      <c r="H174" s="3">
        <v>48150</v>
      </c>
      <c r="I174" s="3">
        <v>96300</v>
      </c>
      <c r="J174" t="s">
        <v>29</v>
      </c>
      <c r="K174" t="s">
        <v>23</v>
      </c>
      <c r="L174" t="str">
        <f t="shared" si="2"/>
        <v>Future Mart</v>
      </c>
    </row>
    <row r="175" spans="1:12" x14ac:dyDescent="0.3">
      <c r="A175" t="s">
        <v>237</v>
      </c>
      <c r="B175" s="2">
        <v>45898</v>
      </c>
      <c r="C175" t="s">
        <v>103</v>
      </c>
      <c r="D175" t="s">
        <v>53</v>
      </c>
      <c r="E175" t="s">
        <v>39</v>
      </c>
      <c r="F175" t="s">
        <v>15</v>
      </c>
      <c r="G175">
        <v>6</v>
      </c>
      <c r="H175" s="3">
        <v>3420</v>
      </c>
      <c r="I175" s="3">
        <v>20520</v>
      </c>
      <c r="J175" t="s">
        <v>22</v>
      </c>
      <c r="K175" t="s">
        <v>37</v>
      </c>
      <c r="L175" t="str">
        <f t="shared" si="2"/>
        <v>Jupiter Systems</v>
      </c>
    </row>
    <row r="176" spans="1:12" x14ac:dyDescent="0.3">
      <c r="A176" t="s">
        <v>238</v>
      </c>
      <c r="B176" s="2">
        <v>45926</v>
      </c>
      <c r="C176" t="s">
        <v>31</v>
      </c>
      <c r="D176" t="s">
        <v>26</v>
      </c>
      <c r="E176" t="s">
        <v>98</v>
      </c>
      <c r="F176" t="s">
        <v>15</v>
      </c>
      <c r="G176">
        <v>1</v>
      </c>
      <c r="H176" s="3">
        <v>2310</v>
      </c>
      <c r="I176" s="3">
        <v>2310</v>
      </c>
      <c r="J176" t="s">
        <v>29</v>
      </c>
      <c r="K176" t="s">
        <v>33</v>
      </c>
      <c r="L176" t="str">
        <f t="shared" si="2"/>
        <v>Orbit Retail</v>
      </c>
    </row>
    <row r="177" spans="1:12" x14ac:dyDescent="0.3">
      <c r="A177" t="s">
        <v>239</v>
      </c>
      <c r="B177" s="2">
        <v>45980</v>
      </c>
      <c r="C177" t="s">
        <v>93</v>
      </c>
      <c r="D177" t="s">
        <v>53</v>
      </c>
      <c r="E177" t="s">
        <v>32</v>
      </c>
      <c r="F177" t="s">
        <v>28</v>
      </c>
      <c r="G177">
        <v>1</v>
      </c>
      <c r="H177" s="3">
        <v>29690</v>
      </c>
      <c r="I177" s="3">
        <v>29690</v>
      </c>
      <c r="J177" t="s">
        <v>29</v>
      </c>
      <c r="K177" t="s">
        <v>37</v>
      </c>
      <c r="L177" t="str">
        <f t="shared" si="2"/>
        <v>Iconic Retail</v>
      </c>
    </row>
    <row r="178" spans="1:12" x14ac:dyDescent="0.3">
      <c r="A178" t="s">
        <v>240</v>
      </c>
      <c r="B178" s="2">
        <v>45918</v>
      </c>
      <c r="C178" t="s">
        <v>52</v>
      </c>
      <c r="D178" t="s">
        <v>53</v>
      </c>
      <c r="E178" t="s">
        <v>46</v>
      </c>
      <c r="F178" t="s">
        <v>47</v>
      </c>
      <c r="G178">
        <v>5</v>
      </c>
      <c r="H178" s="3">
        <v>12300</v>
      </c>
      <c r="I178" s="3">
        <v>61500</v>
      </c>
      <c r="J178" t="s">
        <v>22</v>
      </c>
      <c r="K178" t="s">
        <v>33</v>
      </c>
      <c r="L178" t="str">
        <f t="shared" si="2"/>
        <v>Kaveri Stores</v>
      </c>
    </row>
    <row r="179" spans="1:12" x14ac:dyDescent="0.3">
      <c r="A179" t="s">
        <v>241</v>
      </c>
      <c r="B179" s="2">
        <v>45747</v>
      </c>
      <c r="C179" t="s">
        <v>43</v>
      </c>
      <c r="D179" t="s">
        <v>13</v>
      </c>
      <c r="E179" t="s">
        <v>14</v>
      </c>
      <c r="F179" t="s">
        <v>15</v>
      </c>
      <c r="G179">
        <v>2</v>
      </c>
      <c r="H179" s="3">
        <v>1860</v>
      </c>
      <c r="I179" s="3">
        <v>3720</v>
      </c>
      <c r="J179" t="s">
        <v>29</v>
      </c>
      <c r="K179" t="s">
        <v>33</v>
      </c>
      <c r="L179" t="str">
        <f t="shared" si="2"/>
        <v>Royal Traders</v>
      </c>
    </row>
    <row r="180" spans="1:12" x14ac:dyDescent="0.3">
      <c r="A180" t="s">
        <v>242</v>
      </c>
      <c r="B180" s="2">
        <v>45771</v>
      </c>
      <c r="C180" t="s">
        <v>398</v>
      </c>
      <c r="D180" t="s">
        <v>26</v>
      </c>
      <c r="E180" t="s">
        <v>27</v>
      </c>
      <c r="F180" t="s">
        <v>28</v>
      </c>
      <c r="G180">
        <v>6</v>
      </c>
      <c r="H180" s="3">
        <v>56090</v>
      </c>
      <c r="I180" s="3">
        <v>336540</v>
      </c>
      <c r="J180" t="s">
        <v>22</v>
      </c>
      <c r="K180" t="s">
        <v>50</v>
      </c>
      <c r="L180" t="str">
        <f t="shared" si="2"/>
        <v>Horizon Distributors</v>
      </c>
    </row>
    <row r="181" spans="1:12" x14ac:dyDescent="0.3">
      <c r="A181" t="s">
        <v>244</v>
      </c>
      <c r="B181" s="2">
        <v>45697</v>
      </c>
      <c r="C181" t="s">
        <v>49</v>
      </c>
      <c r="D181" t="s">
        <v>26</v>
      </c>
      <c r="E181" t="s">
        <v>46</v>
      </c>
      <c r="F181" t="s">
        <v>47</v>
      </c>
      <c r="G181">
        <v>3</v>
      </c>
      <c r="H181" s="3">
        <v>12310</v>
      </c>
      <c r="I181" s="3">
        <v>36930</v>
      </c>
      <c r="J181" t="s">
        <v>29</v>
      </c>
      <c r="K181" t="s">
        <v>23</v>
      </c>
      <c r="L181" t="str">
        <f t="shared" si="2"/>
        <v>Metro Mart</v>
      </c>
    </row>
    <row r="182" spans="1:12" x14ac:dyDescent="0.3">
      <c r="A182" t="s">
        <v>245</v>
      </c>
      <c r="B182" s="2">
        <v>45716</v>
      </c>
      <c r="C182" t="s">
        <v>80</v>
      </c>
      <c r="D182" t="s">
        <v>26</v>
      </c>
      <c r="E182" t="s">
        <v>35</v>
      </c>
      <c r="F182" t="s">
        <v>36</v>
      </c>
      <c r="G182">
        <v>6</v>
      </c>
      <c r="H182" s="3">
        <v>11990</v>
      </c>
      <c r="I182" s="3">
        <v>71940</v>
      </c>
      <c r="J182" t="s">
        <v>29</v>
      </c>
      <c r="K182" t="s">
        <v>17</v>
      </c>
      <c r="L182" t="str">
        <f t="shared" si="2"/>
        <v>Prime Distributors</v>
      </c>
    </row>
    <row r="183" spans="1:12" x14ac:dyDescent="0.3">
      <c r="A183" t="s">
        <v>246</v>
      </c>
      <c r="B183" s="2">
        <v>45812</v>
      </c>
      <c r="C183" t="s">
        <v>69</v>
      </c>
      <c r="D183" t="s">
        <v>20</v>
      </c>
      <c r="E183" t="s">
        <v>64</v>
      </c>
      <c r="F183" t="s">
        <v>28</v>
      </c>
      <c r="G183">
        <v>8</v>
      </c>
      <c r="H183" s="3">
        <v>13590</v>
      </c>
      <c r="I183" s="3">
        <v>108720</v>
      </c>
      <c r="J183" t="s">
        <v>16</v>
      </c>
      <c r="K183" t="s">
        <v>50</v>
      </c>
      <c r="L183" t="str">
        <f t="shared" si="2"/>
        <v>Future Mart</v>
      </c>
    </row>
    <row r="184" spans="1:12" x14ac:dyDescent="0.3">
      <c r="A184" t="s">
        <v>247</v>
      </c>
      <c r="B184" s="2">
        <v>45680</v>
      </c>
      <c r="C184" t="s">
        <v>103</v>
      </c>
      <c r="D184" t="s">
        <v>13</v>
      </c>
      <c r="E184" t="s">
        <v>46</v>
      </c>
      <c r="F184" t="s">
        <v>47</v>
      </c>
      <c r="G184">
        <v>6</v>
      </c>
      <c r="H184" s="3">
        <v>11100</v>
      </c>
      <c r="I184" s="3">
        <v>66600</v>
      </c>
      <c r="J184" t="s">
        <v>16</v>
      </c>
      <c r="K184" t="s">
        <v>50</v>
      </c>
      <c r="L184" t="str">
        <f t="shared" si="2"/>
        <v>Jupiter Systems</v>
      </c>
    </row>
    <row r="185" spans="1:12" x14ac:dyDescent="0.3">
      <c r="A185" t="s">
        <v>248</v>
      </c>
      <c r="B185" s="2">
        <v>45863</v>
      </c>
      <c r="C185" t="s">
        <v>49</v>
      </c>
      <c r="D185" t="s">
        <v>26</v>
      </c>
      <c r="E185" t="s">
        <v>98</v>
      </c>
      <c r="F185" t="s">
        <v>15</v>
      </c>
      <c r="G185">
        <v>1</v>
      </c>
      <c r="H185" s="3">
        <v>2310</v>
      </c>
      <c r="I185" s="3">
        <v>2310</v>
      </c>
      <c r="J185" t="s">
        <v>16</v>
      </c>
      <c r="K185" t="s">
        <v>37</v>
      </c>
      <c r="L185" t="str">
        <f t="shared" si="2"/>
        <v>Metro Mart</v>
      </c>
    </row>
    <row r="186" spans="1:12" x14ac:dyDescent="0.3">
      <c r="A186" t="s">
        <v>249</v>
      </c>
      <c r="B186" s="2">
        <v>45674</v>
      </c>
      <c r="C186" t="s">
        <v>45</v>
      </c>
      <c r="D186" t="s">
        <v>53</v>
      </c>
      <c r="E186" t="s">
        <v>14</v>
      </c>
      <c r="F186" t="s">
        <v>15</v>
      </c>
      <c r="G186">
        <v>4</v>
      </c>
      <c r="H186" s="3">
        <v>1940</v>
      </c>
      <c r="I186" s="3">
        <v>7760</v>
      </c>
      <c r="J186" t="s">
        <v>22</v>
      </c>
      <c r="K186" t="s">
        <v>33</v>
      </c>
      <c r="L186" t="str">
        <f t="shared" si="2"/>
        <v>Horizon Distributors</v>
      </c>
    </row>
    <row r="187" spans="1:12" x14ac:dyDescent="0.3">
      <c r="A187" t="s">
        <v>250</v>
      </c>
      <c r="B187" s="2">
        <v>45731</v>
      </c>
      <c r="C187" t="s">
        <v>93</v>
      </c>
      <c r="D187" t="s">
        <v>20</v>
      </c>
      <c r="E187" t="s">
        <v>27</v>
      </c>
      <c r="F187" t="s">
        <v>28</v>
      </c>
      <c r="G187">
        <v>5</v>
      </c>
      <c r="H187" s="3">
        <v>48910</v>
      </c>
      <c r="I187" s="3">
        <v>244550</v>
      </c>
      <c r="J187" t="s">
        <v>22</v>
      </c>
      <c r="K187" t="s">
        <v>33</v>
      </c>
      <c r="L187" t="str">
        <f t="shared" si="2"/>
        <v>Iconic Retail</v>
      </c>
    </row>
    <row r="188" spans="1:12" x14ac:dyDescent="0.3">
      <c r="A188" t="s">
        <v>251</v>
      </c>
      <c r="B188" s="2">
        <v>45853</v>
      </c>
      <c r="C188" t="s">
        <v>66</v>
      </c>
      <c r="D188" t="s">
        <v>20</v>
      </c>
      <c r="E188" t="s">
        <v>32</v>
      </c>
      <c r="F188" t="s">
        <v>28</v>
      </c>
      <c r="G188">
        <v>8</v>
      </c>
      <c r="H188" s="3">
        <v>26220</v>
      </c>
      <c r="I188" s="3">
        <v>209760</v>
      </c>
      <c r="J188" t="s">
        <v>22</v>
      </c>
      <c r="K188" t="s">
        <v>33</v>
      </c>
      <c r="L188" t="str">
        <f t="shared" si="2"/>
        <v>Vertex Retail</v>
      </c>
    </row>
    <row r="189" spans="1:12" x14ac:dyDescent="0.3">
      <c r="A189" t="s">
        <v>252</v>
      </c>
      <c r="B189" s="2">
        <v>45850</v>
      </c>
      <c r="C189" t="s">
        <v>43</v>
      </c>
      <c r="D189" t="s">
        <v>13</v>
      </c>
      <c r="E189" t="s">
        <v>14</v>
      </c>
      <c r="F189" t="s">
        <v>15</v>
      </c>
      <c r="G189">
        <v>4</v>
      </c>
      <c r="H189" s="3">
        <v>1680</v>
      </c>
      <c r="I189" s="3">
        <v>6720</v>
      </c>
      <c r="J189" t="s">
        <v>22</v>
      </c>
      <c r="K189" t="s">
        <v>50</v>
      </c>
      <c r="L189" t="str">
        <f t="shared" si="2"/>
        <v>Royal Traders</v>
      </c>
    </row>
    <row r="190" spans="1:12" x14ac:dyDescent="0.3">
      <c r="A190" t="s">
        <v>253</v>
      </c>
      <c r="B190" s="2">
        <v>45664</v>
      </c>
      <c r="C190" t="s">
        <v>52</v>
      </c>
      <c r="D190" t="s">
        <v>26</v>
      </c>
      <c r="E190" t="s">
        <v>21</v>
      </c>
      <c r="F190" t="s">
        <v>15</v>
      </c>
      <c r="G190">
        <v>4</v>
      </c>
      <c r="H190" s="3">
        <v>910</v>
      </c>
      <c r="I190" s="3">
        <v>3640</v>
      </c>
      <c r="J190" t="s">
        <v>22</v>
      </c>
      <c r="K190" t="s">
        <v>17</v>
      </c>
      <c r="L190" t="str">
        <f t="shared" si="2"/>
        <v>Kaveri Stores</v>
      </c>
    </row>
    <row r="191" spans="1:12" x14ac:dyDescent="0.3">
      <c r="A191" t="s">
        <v>254</v>
      </c>
      <c r="B191" s="2">
        <v>45883</v>
      </c>
      <c r="C191" t="s">
        <v>120</v>
      </c>
      <c r="D191" t="s">
        <v>26</v>
      </c>
      <c r="E191" t="s">
        <v>64</v>
      </c>
      <c r="F191" t="s">
        <v>28</v>
      </c>
      <c r="G191">
        <v>1</v>
      </c>
      <c r="H191" s="3">
        <v>13710</v>
      </c>
      <c r="I191" s="3">
        <v>13710</v>
      </c>
      <c r="J191" t="s">
        <v>16</v>
      </c>
      <c r="K191" t="s">
        <v>50</v>
      </c>
      <c r="L191" t="str">
        <f t="shared" si="2"/>
        <v>Delta Enterprises</v>
      </c>
    </row>
    <row r="192" spans="1:12" x14ac:dyDescent="0.3">
      <c r="A192" t="s">
        <v>255</v>
      </c>
      <c r="B192" s="2">
        <v>45732</v>
      </c>
      <c r="C192" t="s">
        <v>66</v>
      </c>
      <c r="D192" t="s">
        <v>20</v>
      </c>
      <c r="E192" t="s">
        <v>46</v>
      </c>
      <c r="F192" t="s">
        <v>47</v>
      </c>
      <c r="G192">
        <v>3</v>
      </c>
      <c r="H192" s="3">
        <v>12630</v>
      </c>
      <c r="I192" s="3">
        <v>37890</v>
      </c>
      <c r="J192" t="s">
        <v>22</v>
      </c>
      <c r="K192" t="s">
        <v>23</v>
      </c>
      <c r="L192" t="str">
        <f t="shared" si="2"/>
        <v>Vertex Retail</v>
      </c>
    </row>
    <row r="193" spans="1:12" x14ac:dyDescent="0.3">
      <c r="A193" t="s">
        <v>256</v>
      </c>
      <c r="B193" s="2">
        <v>45893</v>
      </c>
      <c r="C193" t="s">
        <v>31</v>
      </c>
      <c r="D193" t="s">
        <v>20</v>
      </c>
      <c r="E193" t="s">
        <v>64</v>
      </c>
      <c r="F193" t="s">
        <v>28</v>
      </c>
      <c r="G193">
        <v>1</v>
      </c>
      <c r="H193" s="3">
        <v>15350</v>
      </c>
      <c r="I193" s="3">
        <v>15350</v>
      </c>
      <c r="J193" t="s">
        <v>29</v>
      </c>
      <c r="K193" t="s">
        <v>17</v>
      </c>
      <c r="L193" t="str">
        <f t="shared" si="2"/>
        <v>Orbit Retail</v>
      </c>
    </row>
    <row r="194" spans="1:12" x14ac:dyDescent="0.3">
      <c r="A194" t="s">
        <v>257</v>
      </c>
      <c r="B194" s="2">
        <v>45914</v>
      </c>
      <c r="C194" t="s">
        <v>69</v>
      </c>
      <c r="D194" t="s">
        <v>53</v>
      </c>
      <c r="E194" t="s">
        <v>39</v>
      </c>
      <c r="F194" t="s">
        <v>15</v>
      </c>
      <c r="G194">
        <v>5</v>
      </c>
      <c r="H194" s="3">
        <v>3170</v>
      </c>
      <c r="I194" s="3">
        <v>15850</v>
      </c>
      <c r="J194" t="s">
        <v>22</v>
      </c>
      <c r="K194" t="s">
        <v>50</v>
      </c>
      <c r="L194" t="str">
        <f t="shared" si="2"/>
        <v>Future Mart</v>
      </c>
    </row>
    <row r="195" spans="1:12" x14ac:dyDescent="0.3">
      <c r="A195" t="s">
        <v>258</v>
      </c>
      <c r="B195" s="2">
        <v>45931</v>
      </c>
      <c r="C195" t="s">
        <v>31</v>
      </c>
      <c r="D195" t="s">
        <v>20</v>
      </c>
      <c r="E195" t="s">
        <v>64</v>
      </c>
      <c r="F195" t="s">
        <v>28</v>
      </c>
      <c r="G195">
        <v>6</v>
      </c>
      <c r="H195" s="3">
        <v>15000</v>
      </c>
      <c r="I195" s="3">
        <v>90000</v>
      </c>
      <c r="J195" t="s">
        <v>16</v>
      </c>
      <c r="K195" t="s">
        <v>33</v>
      </c>
      <c r="L195" t="str">
        <f t="shared" ref="L195:L225" si="3">TRIM(C195)</f>
        <v>Orbit Retail</v>
      </c>
    </row>
    <row r="196" spans="1:12" x14ac:dyDescent="0.3">
      <c r="A196" t="s">
        <v>259</v>
      </c>
      <c r="B196" s="2">
        <v>45736</v>
      </c>
      <c r="C196" t="s">
        <v>89</v>
      </c>
      <c r="D196" t="s">
        <v>13</v>
      </c>
      <c r="E196" t="s">
        <v>64</v>
      </c>
      <c r="F196" t="s">
        <v>28</v>
      </c>
      <c r="G196">
        <v>6</v>
      </c>
      <c r="H196" s="3">
        <v>15140</v>
      </c>
      <c r="I196" s="3">
        <v>90840</v>
      </c>
      <c r="J196" t="s">
        <v>16</v>
      </c>
      <c r="K196" t="s">
        <v>17</v>
      </c>
      <c r="L196" t="str">
        <f t="shared" si="3"/>
        <v>Nova Solutions</v>
      </c>
    </row>
    <row r="197" spans="1:12" x14ac:dyDescent="0.3">
      <c r="A197" t="s">
        <v>260</v>
      </c>
      <c r="B197" s="2">
        <v>45703</v>
      </c>
      <c r="C197" t="s">
        <v>31</v>
      </c>
      <c r="D197" t="s">
        <v>26</v>
      </c>
      <c r="E197" t="s">
        <v>55</v>
      </c>
      <c r="F197" t="s">
        <v>47</v>
      </c>
      <c r="G197">
        <v>2</v>
      </c>
      <c r="H197" s="3">
        <v>9060</v>
      </c>
      <c r="I197" s="3">
        <v>18120</v>
      </c>
      <c r="J197" t="s">
        <v>22</v>
      </c>
      <c r="K197" t="s">
        <v>23</v>
      </c>
      <c r="L197" t="str">
        <f t="shared" si="3"/>
        <v>Orbit Retail</v>
      </c>
    </row>
    <row r="198" spans="1:12" x14ac:dyDescent="0.3">
      <c r="A198" t="s">
        <v>261</v>
      </c>
      <c r="B198" s="2">
        <v>45666</v>
      </c>
      <c r="C198" t="s">
        <v>69</v>
      </c>
      <c r="D198" t="s">
        <v>20</v>
      </c>
      <c r="E198" t="s">
        <v>32</v>
      </c>
      <c r="F198" t="s">
        <v>28</v>
      </c>
      <c r="G198">
        <v>4</v>
      </c>
      <c r="H198" s="3">
        <v>26870</v>
      </c>
      <c r="I198" s="3">
        <v>107480</v>
      </c>
      <c r="J198" t="s">
        <v>29</v>
      </c>
      <c r="K198" t="s">
        <v>33</v>
      </c>
      <c r="L198" t="str">
        <f t="shared" si="3"/>
        <v>Future Mart</v>
      </c>
    </row>
    <row r="199" spans="1:12" x14ac:dyDescent="0.3">
      <c r="A199" t="s">
        <v>262</v>
      </c>
      <c r="B199" s="2">
        <v>46001</v>
      </c>
      <c r="C199" t="s">
        <v>45</v>
      </c>
      <c r="D199" t="s">
        <v>53</v>
      </c>
      <c r="E199" t="s">
        <v>27</v>
      </c>
      <c r="F199" t="s">
        <v>28</v>
      </c>
      <c r="G199">
        <v>4</v>
      </c>
      <c r="H199" s="3">
        <v>50080</v>
      </c>
      <c r="I199" s="3">
        <v>200320</v>
      </c>
      <c r="J199" t="s">
        <v>29</v>
      </c>
      <c r="K199" t="s">
        <v>56</v>
      </c>
      <c r="L199" t="str">
        <f t="shared" si="3"/>
        <v>Horizon Distributors</v>
      </c>
    </row>
    <row r="200" spans="1:12" x14ac:dyDescent="0.3">
      <c r="A200" t="s">
        <v>263</v>
      </c>
      <c r="B200" s="2">
        <v>45752</v>
      </c>
      <c r="C200" t="s">
        <v>69</v>
      </c>
      <c r="D200" t="s">
        <v>20</v>
      </c>
      <c r="E200" t="s">
        <v>27</v>
      </c>
      <c r="F200" t="s">
        <v>28</v>
      </c>
      <c r="G200">
        <v>1</v>
      </c>
      <c r="H200" s="3">
        <v>51110</v>
      </c>
      <c r="I200" s="3">
        <v>51110</v>
      </c>
      <c r="J200" t="s">
        <v>16</v>
      </c>
      <c r="K200" t="s">
        <v>50</v>
      </c>
      <c r="L200" t="str">
        <f t="shared" si="3"/>
        <v>Future Mart</v>
      </c>
    </row>
    <row r="201" spans="1:12" x14ac:dyDescent="0.3">
      <c r="A201" t="s">
        <v>264</v>
      </c>
      <c r="B201" s="2">
        <v>45924</v>
      </c>
      <c r="C201" t="s">
        <v>101</v>
      </c>
      <c r="D201" t="s">
        <v>20</v>
      </c>
      <c r="E201" t="s">
        <v>98</v>
      </c>
      <c r="F201" t="s">
        <v>15</v>
      </c>
      <c r="G201">
        <v>8</v>
      </c>
      <c r="H201" s="3">
        <v>2340</v>
      </c>
      <c r="I201" s="3">
        <v>18720</v>
      </c>
      <c r="J201" t="s">
        <v>29</v>
      </c>
      <c r="K201" t="s">
        <v>56</v>
      </c>
      <c r="L201" t="str">
        <f t="shared" si="3"/>
        <v>Sunrise Enterprises</v>
      </c>
    </row>
    <row r="202" spans="1:12" x14ac:dyDescent="0.3">
      <c r="A202" t="s">
        <v>265</v>
      </c>
      <c r="B202" s="2">
        <v>45967</v>
      </c>
      <c r="C202" t="s">
        <v>66</v>
      </c>
      <c r="D202" t="s">
        <v>26</v>
      </c>
      <c r="E202" t="s">
        <v>27</v>
      </c>
      <c r="F202" t="s">
        <v>28</v>
      </c>
      <c r="G202">
        <v>3</v>
      </c>
      <c r="H202" s="3">
        <v>47990</v>
      </c>
      <c r="I202" s="3">
        <v>143970</v>
      </c>
      <c r="J202" t="s">
        <v>22</v>
      </c>
      <c r="K202" t="s">
        <v>37</v>
      </c>
      <c r="L202" t="str">
        <f t="shared" si="3"/>
        <v>Vertex Retail</v>
      </c>
    </row>
    <row r="203" spans="1:12" x14ac:dyDescent="0.3">
      <c r="A203" t="s">
        <v>266</v>
      </c>
      <c r="B203" s="2">
        <v>45734</v>
      </c>
      <c r="C203" t="s">
        <v>66</v>
      </c>
      <c r="D203" t="s">
        <v>13</v>
      </c>
      <c r="E203" t="s">
        <v>14</v>
      </c>
      <c r="F203" t="s">
        <v>15</v>
      </c>
      <c r="G203">
        <v>3</v>
      </c>
      <c r="H203" s="3">
        <v>1680</v>
      </c>
      <c r="I203" s="3">
        <v>5040</v>
      </c>
      <c r="J203" t="s">
        <v>22</v>
      </c>
      <c r="K203" t="s">
        <v>37</v>
      </c>
      <c r="L203" t="str">
        <f t="shared" si="3"/>
        <v>Vertex Retail</v>
      </c>
    </row>
    <row r="204" spans="1:12" x14ac:dyDescent="0.3">
      <c r="A204" t="s">
        <v>267</v>
      </c>
      <c r="B204" s="2">
        <v>45800</v>
      </c>
      <c r="C204" t="s">
        <v>19</v>
      </c>
      <c r="D204" t="s">
        <v>13</v>
      </c>
      <c r="E204" t="s">
        <v>39</v>
      </c>
      <c r="F204" t="s">
        <v>15</v>
      </c>
      <c r="G204">
        <v>2</v>
      </c>
      <c r="H204" s="3">
        <v>3300</v>
      </c>
      <c r="I204" s="3">
        <v>6600</v>
      </c>
      <c r="J204" t="s">
        <v>16</v>
      </c>
      <c r="K204" t="s">
        <v>33</v>
      </c>
      <c r="L204" t="str">
        <f t="shared" si="3"/>
        <v>Bright Solutions</v>
      </c>
    </row>
    <row r="205" spans="1:12" x14ac:dyDescent="0.3">
      <c r="A205" t="s">
        <v>268</v>
      </c>
      <c r="B205" s="2">
        <v>45666</v>
      </c>
      <c r="C205" t="s">
        <v>69</v>
      </c>
      <c r="D205" t="s">
        <v>26</v>
      </c>
      <c r="E205" t="s">
        <v>27</v>
      </c>
      <c r="F205" t="s">
        <v>28</v>
      </c>
      <c r="G205">
        <v>4</v>
      </c>
      <c r="H205" s="3">
        <v>53720</v>
      </c>
      <c r="I205" s="3">
        <v>214880</v>
      </c>
      <c r="J205" t="s">
        <v>16</v>
      </c>
      <c r="K205" t="s">
        <v>56</v>
      </c>
      <c r="L205" t="str">
        <f t="shared" si="3"/>
        <v>Future Mart</v>
      </c>
    </row>
    <row r="206" spans="1:12" x14ac:dyDescent="0.3">
      <c r="A206" t="s">
        <v>269</v>
      </c>
      <c r="B206" s="2">
        <v>45975</v>
      </c>
      <c r="C206" t="s">
        <v>66</v>
      </c>
      <c r="D206" t="s">
        <v>13</v>
      </c>
      <c r="E206" t="s">
        <v>98</v>
      </c>
      <c r="F206" t="s">
        <v>15</v>
      </c>
      <c r="G206">
        <v>6</v>
      </c>
      <c r="H206" s="3">
        <v>2280</v>
      </c>
      <c r="I206" s="3">
        <v>13680</v>
      </c>
      <c r="J206" t="s">
        <v>16</v>
      </c>
      <c r="K206" t="s">
        <v>17</v>
      </c>
      <c r="L206" t="str">
        <f t="shared" si="3"/>
        <v>Vertex Retail</v>
      </c>
    </row>
    <row r="207" spans="1:12" x14ac:dyDescent="0.3">
      <c r="A207" t="s">
        <v>270</v>
      </c>
      <c r="B207" s="2">
        <v>45971</v>
      </c>
      <c r="C207" t="s">
        <v>85</v>
      </c>
      <c r="D207" t="s">
        <v>53</v>
      </c>
      <c r="E207" t="s">
        <v>35</v>
      </c>
      <c r="F207" t="s">
        <v>36</v>
      </c>
      <c r="G207">
        <v>4</v>
      </c>
      <c r="H207" s="3">
        <v>12610</v>
      </c>
      <c r="I207" s="3">
        <v>50440</v>
      </c>
      <c r="J207" t="s">
        <v>29</v>
      </c>
      <c r="K207" t="s">
        <v>33</v>
      </c>
      <c r="L207" t="str">
        <f t="shared" si="3"/>
        <v>Crest Retail</v>
      </c>
    </row>
    <row r="208" spans="1:12" x14ac:dyDescent="0.3">
      <c r="A208" t="s">
        <v>271</v>
      </c>
      <c r="B208" s="2">
        <v>45744</v>
      </c>
      <c r="C208" t="s">
        <v>25</v>
      </c>
      <c r="D208" t="s">
        <v>26</v>
      </c>
      <c r="E208" t="s">
        <v>98</v>
      </c>
      <c r="F208" t="s">
        <v>15</v>
      </c>
      <c r="G208">
        <v>1</v>
      </c>
      <c r="H208" s="3">
        <v>2050</v>
      </c>
      <c r="I208" s="3">
        <v>2050</v>
      </c>
      <c r="J208" t="s">
        <v>29</v>
      </c>
      <c r="K208" t="s">
        <v>50</v>
      </c>
      <c r="L208" t="str">
        <f t="shared" si="3"/>
        <v>Lotus Enterprises</v>
      </c>
    </row>
    <row r="209" spans="1:12" x14ac:dyDescent="0.3">
      <c r="A209" t="s">
        <v>272</v>
      </c>
      <c r="B209" s="2">
        <v>45830</v>
      </c>
      <c r="C209" t="s">
        <v>45</v>
      </c>
      <c r="D209" t="s">
        <v>26</v>
      </c>
      <c r="E209" t="s">
        <v>32</v>
      </c>
      <c r="F209" t="s">
        <v>28</v>
      </c>
      <c r="G209">
        <v>2</v>
      </c>
      <c r="H209" s="3">
        <v>27870</v>
      </c>
      <c r="I209" s="3">
        <v>55740</v>
      </c>
      <c r="J209" t="s">
        <v>16</v>
      </c>
      <c r="K209" t="s">
        <v>50</v>
      </c>
      <c r="L209" t="str">
        <f t="shared" si="3"/>
        <v>Horizon Distributors</v>
      </c>
    </row>
    <row r="210" spans="1:12" x14ac:dyDescent="0.3">
      <c r="A210" t="s">
        <v>273</v>
      </c>
      <c r="B210" s="2">
        <v>45868</v>
      </c>
      <c r="C210" t="s">
        <v>75</v>
      </c>
      <c r="D210" t="s">
        <v>20</v>
      </c>
      <c r="E210" t="s">
        <v>32</v>
      </c>
      <c r="F210" t="s">
        <v>28</v>
      </c>
      <c r="G210">
        <v>3</v>
      </c>
      <c r="H210" s="3">
        <v>28250</v>
      </c>
      <c r="I210" s="3">
        <v>84750</v>
      </c>
      <c r="J210" t="s">
        <v>29</v>
      </c>
      <c r="K210" t="s">
        <v>17</v>
      </c>
      <c r="L210" t="str">
        <f t="shared" si="3"/>
        <v>Evergreen Stores</v>
      </c>
    </row>
    <row r="211" spans="1:12" x14ac:dyDescent="0.3">
      <c r="A211" t="s">
        <v>274</v>
      </c>
      <c r="B211" s="2">
        <v>45750</v>
      </c>
      <c r="C211" t="s">
        <v>31</v>
      </c>
      <c r="D211" t="s">
        <v>26</v>
      </c>
      <c r="E211" t="s">
        <v>32</v>
      </c>
      <c r="F211" t="s">
        <v>28</v>
      </c>
      <c r="G211">
        <v>2</v>
      </c>
      <c r="H211" s="3">
        <v>28810</v>
      </c>
      <c r="I211" s="3">
        <v>57620</v>
      </c>
      <c r="J211" t="s">
        <v>16</v>
      </c>
      <c r="K211" t="s">
        <v>33</v>
      </c>
      <c r="L211" t="str">
        <f t="shared" si="3"/>
        <v>Orbit Retail</v>
      </c>
    </row>
    <row r="212" spans="1:12" x14ac:dyDescent="0.3">
      <c r="A212" t="s">
        <v>275</v>
      </c>
      <c r="B212" s="2">
        <v>45681</v>
      </c>
      <c r="C212" t="s">
        <v>66</v>
      </c>
      <c r="D212" t="s">
        <v>26</v>
      </c>
      <c r="E212" t="s">
        <v>64</v>
      </c>
      <c r="F212" t="s">
        <v>28</v>
      </c>
      <c r="G212">
        <v>10</v>
      </c>
      <c r="H212" s="3">
        <v>14300</v>
      </c>
      <c r="I212" s="3">
        <v>143000</v>
      </c>
      <c r="J212" t="s">
        <v>22</v>
      </c>
      <c r="K212" t="s">
        <v>33</v>
      </c>
      <c r="L212" t="str">
        <f t="shared" si="3"/>
        <v>Vertex Retail</v>
      </c>
    </row>
    <row r="213" spans="1:12" x14ac:dyDescent="0.3">
      <c r="A213" t="s">
        <v>276</v>
      </c>
      <c r="B213" s="2">
        <v>45762</v>
      </c>
      <c r="C213" t="s">
        <v>120</v>
      </c>
      <c r="D213" t="s">
        <v>13</v>
      </c>
      <c r="E213" t="s">
        <v>35</v>
      </c>
      <c r="F213" t="s">
        <v>36</v>
      </c>
      <c r="G213">
        <v>3</v>
      </c>
      <c r="H213" s="3">
        <v>12530</v>
      </c>
      <c r="I213" s="3">
        <v>37590</v>
      </c>
      <c r="J213" t="s">
        <v>29</v>
      </c>
      <c r="K213" t="s">
        <v>37</v>
      </c>
      <c r="L213" t="str">
        <f t="shared" si="3"/>
        <v>Delta Enterprises</v>
      </c>
    </row>
    <row r="214" spans="1:12" x14ac:dyDescent="0.3">
      <c r="A214" t="s">
        <v>277</v>
      </c>
      <c r="B214" s="2">
        <v>45919</v>
      </c>
      <c r="C214" t="s">
        <v>12</v>
      </c>
      <c r="D214" t="s">
        <v>13</v>
      </c>
      <c r="E214" t="s">
        <v>35</v>
      </c>
      <c r="F214" t="s">
        <v>36</v>
      </c>
      <c r="G214">
        <v>6</v>
      </c>
      <c r="H214" s="3">
        <v>13300</v>
      </c>
      <c r="I214" s="3">
        <v>79800</v>
      </c>
      <c r="J214" t="s">
        <v>16</v>
      </c>
      <c r="K214" t="s">
        <v>17</v>
      </c>
      <c r="L214" t="str">
        <f t="shared" si="3"/>
        <v>Galaxy Tech</v>
      </c>
    </row>
    <row r="215" spans="1:12" x14ac:dyDescent="0.3">
      <c r="A215" t="s">
        <v>278</v>
      </c>
      <c r="B215" s="2">
        <v>45675</v>
      </c>
      <c r="C215" t="s">
        <v>45</v>
      </c>
      <c r="D215" t="s">
        <v>26</v>
      </c>
      <c r="E215" t="s">
        <v>14</v>
      </c>
      <c r="F215" t="s">
        <v>15</v>
      </c>
      <c r="G215">
        <v>2</v>
      </c>
      <c r="H215" s="3">
        <v>1770</v>
      </c>
      <c r="I215" s="3">
        <v>3540</v>
      </c>
      <c r="J215" t="s">
        <v>16</v>
      </c>
      <c r="K215" t="s">
        <v>56</v>
      </c>
      <c r="L215" t="str">
        <f t="shared" si="3"/>
        <v>Horizon Distributors</v>
      </c>
    </row>
    <row r="216" spans="1:12" x14ac:dyDescent="0.3">
      <c r="A216" t="s">
        <v>279</v>
      </c>
      <c r="B216" s="2">
        <v>45744</v>
      </c>
      <c r="C216" t="s">
        <v>103</v>
      </c>
      <c r="D216" t="s">
        <v>20</v>
      </c>
      <c r="E216" t="s">
        <v>27</v>
      </c>
      <c r="F216" t="s">
        <v>28</v>
      </c>
      <c r="G216">
        <v>4</v>
      </c>
      <c r="H216" s="3">
        <v>55400</v>
      </c>
      <c r="I216" s="3">
        <v>221600</v>
      </c>
      <c r="J216" t="s">
        <v>22</v>
      </c>
      <c r="K216" t="s">
        <v>23</v>
      </c>
      <c r="L216" t="str">
        <f t="shared" si="3"/>
        <v>Jupiter Systems</v>
      </c>
    </row>
    <row r="217" spans="1:12" x14ac:dyDescent="0.3">
      <c r="A217" t="s">
        <v>280</v>
      </c>
      <c r="B217" s="2">
        <v>45698</v>
      </c>
      <c r="C217" t="s">
        <v>31</v>
      </c>
      <c r="D217" t="s">
        <v>13</v>
      </c>
      <c r="E217" t="s">
        <v>35</v>
      </c>
      <c r="F217" t="s">
        <v>36</v>
      </c>
      <c r="G217">
        <v>3</v>
      </c>
      <c r="H217" s="3">
        <v>11640</v>
      </c>
      <c r="I217" s="3">
        <v>34920</v>
      </c>
      <c r="J217" t="s">
        <v>16</v>
      </c>
      <c r="K217" t="s">
        <v>56</v>
      </c>
      <c r="L217" t="str">
        <f t="shared" si="3"/>
        <v>Orbit Retail</v>
      </c>
    </row>
    <row r="218" spans="1:12" x14ac:dyDescent="0.3">
      <c r="A218" t="s">
        <v>281</v>
      </c>
      <c r="B218" s="2">
        <v>46002</v>
      </c>
      <c r="C218" t="s">
        <v>19</v>
      </c>
      <c r="D218" t="s">
        <v>53</v>
      </c>
      <c r="E218" t="s">
        <v>98</v>
      </c>
      <c r="F218" t="s">
        <v>15</v>
      </c>
      <c r="G218">
        <v>1</v>
      </c>
      <c r="H218" s="3">
        <v>2250</v>
      </c>
      <c r="I218" s="3">
        <v>2250</v>
      </c>
      <c r="J218" t="s">
        <v>29</v>
      </c>
      <c r="K218" t="s">
        <v>50</v>
      </c>
      <c r="L218" t="str">
        <f t="shared" si="3"/>
        <v>Bright Solutions</v>
      </c>
    </row>
    <row r="219" spans="1:12" x14ac:dyDescent="0.3">
      <c r="A219" t="s">
        <v>282</v>
      </c>
      <c r="B219" s="2">
        <v>45958</v>
      </c>
      <c r="C219" t="s">
        <v>31</v>
      </c>
      <c r="D219" t="s">
        <v>53</v>
      </c>
      <c r="E219" t="s">
        <v>14</v>
      </c>
      <c r="F219" t="s">
        <v>15</v>
      </c>
      <c r="G219">
        <v>5</v>
      </c>
      <c r="H219" s="3">
        <v>1690</v>
      </c>
      <c r="I219" s="3">
        <v>8450</v>
      </c>
      <c r="J219" t="s">
        <v>16</v>
      </c>
      <c r="K219" t="s">
        <v>37</v>
      </c>
      <c r="L219" t="str">
        <f t="shared" si="3"/>
        <v>Orbit Retail</v>
      </c>
    </row>
    <row r="220" spans="1:12" x14ac:dyDescent="0.3">
      <c r="A220" t="s">
        <v>283</v>
      </c>
      <c r="B220" s="2">
        <v>45923</v>
      </c>
      <c r="C220" t="s">
        <v>25</v>
      </c>
      <c r="D220" t="s">
        <v>13</v>
      </c>
      <c r="E220" t="s">
        <v>27</v>
      </c>
      <c r="F220" t="s">
        <v>28</v>
      </c>
      <c r="G220">
        <v>1</v>
      </c>
      <c r="H220" s="3">
        <v>52160</v>
      </c>
      <c r="I220" s="3">
        <v>52160</v>
      </c>
      <c r="J220" t="s">
        <v>29</v>
      </c>
      <c r="K220" t="s">
        <v>56</v>
      </c>
      <c r="L220" t="str">
        <f t="shared" si="3"/>
        <v>Lotus Enterprises</v>
      </c>
    </row>
    <row r="221" spans="1:12" x14ac:dyDescent="0.3">
      <c r="A221" t="s">
        <v>284</v>
      </c>
      <c r="B221" s="2">
        <v>45970</v>
      </c>
      <c r="C221" t="s">
        <v>66</v>
      </c>
      <c r="D221" t="s">
        <v>20</v>
      </c>
      <c r="E221" t="s">
        <v>21</v>
      </c>
      <c r="F221" t="s">
        <v>15</v>
      </c>
      <c r="G221">
        <v>4</v>
      </c>
      <c r="H221" s="3">
        <v>960</v>
      </c>
      <c r="I221" s="3">
        <v>3840</v>
      </c>
      <c r="J221" t="s">
        <v>29</v>
      </c>
      <c r="K221" t="s">
        <v>17</v>
      </c>
      <c r="L221" t="str">
        <f t="shared" si="3"/>
        <v>Vertex Retail</v>
      </c>
    </row>
    <row r="222" spans="1:12" x14ac:dyDescent="0.3">
      <c r="A222" t="s">
        <v>285</v>
      </c>
      <c r="B222" s="2">
        <v>45777</v>
      </c>
      <c r="C222" t="s">
        <v>25</v>
      </c>
      <c r="D222" t="s">
        <v>20</v>
      </c>
      <c r="E222" t="s">
        <v>98</v>
      </c>
      <c r="F222" t="s">
        <v>15</v>
      </c>
      <c r="G222">
        <v>4</v>
      </c>
      <c r="H222" s="3">
        <v>2190</v>
      </c>
      <c r="I222" s="3">
        <v>8760</v>
      </c>
      <c r="J222" t="s">
        <v>16</v>
      </c>
      <c r="K222" t="s">
        <v>23</v>
      </c>
      <c r="L222" t="str">
        <f t="shared" si="3"/>
        <v>Lotus Enterprises</v>
      </c>
    </row>
    <row r="223" spans="1:12" x14ac:dyDescent="0.3">
      <c r="A223" t="s">
        <v>286</v>
      </c>
      <c r="B223" s="2">
        <v>45787</v>
      </c>
      <c r="C223" t="s">
        <v>93</v>
      </c>
      <c r="D223" t="s">
        <v>53</v>
      </c>
      <c r="E223" t="s">
        <v>64</v>
      </c>
      <c r="F223" t="s">
        <v>28</v>
      </c>
      <c r="G223">
        <v>1</v>
      </c>
      <c r="H223" s="3">
        <v>13970</v>
      </c>
      <c r="I223" s="3">
        <v>13970</v>
      </c>
      <c r="J223" t="s">
        <v>29</v>
      </c>
      <c r="K223" t="s">
        <v>33</v>
      </c>
      <c r="L223" t="str">
        <f t="shared" si="3"/>
        <v>Iconic Retail</v>
      </c>
    </row>
    <row r="224" spans="1:12" x14ac:dyDescent="0.3">
      <c r="A224" t="s">
        <v>287</v>
      </c>
      <c r="B224" s="2">
        <v>45902</v>
      </c>
      <c r="C224" t="s">
        <v>75</v>
      </c>
      <c r="D224" t="s">
        <v>26</v>
      </c>
      <c r="E224" t="s">
        <v>27</v>
      </c>
      <c r="F224" t="s">
        <v>28</v>
      </c>
      <c r="G224">
        <v>4</v>
      </c>
      <c r="H224" s="3">
        <v>49710</v>
      </c>
      <c r="I224" s="3">
        <v>198840</v>
      </c>
      <c r="J224" t="s">
        <v>29</v>
      </c>
      <c r="K224" t="s">
        <v>17</v>
      </c>
      <c r="L224" t="str">
        <f t="shared" si="3"/>
        <v>Evergreen Stores</v>
      </c>
    </row>
    <row r="225" spans="1:12" x14ac:dyDescent="0.3">
      <c r="A225" t="s">
        <v>288</v>
      </c>
      <c r="B225" s="2">
        <v>45873</v>
      </c>
      <c r="C225" t="s">
        <v>52</v>
      </c>
      <c r="D225" t="s">
        <v>13</v>
      </c>
      <c r="E225" t="s">
        <v>27</v>
      </c>
      <c r="F225" t="s">
        <v>28</v>
      </c>
      <c r="G225">
        <v>1</v>
      </c>
      <c r="H225" s="3">
        <v>56050</v>
      </c>
      <c r="I225" s="3">
        <v>56050</v>
      </c>
      <c r="J225" t="s">
        <v>22</v>
      </c>
      <c r="K225" t="s">
        <v>56</v>
      </c>
      <c r="L225" t="str">
        <f t="shared" si="3"/>
        <v>Kaveri Stores</v>
      </c>
    </row>
    <row r="226" spans="1:12" x14ac:dyDescent="0.3">
      <c r="A226" t="s">
        <v>289</v>
      </c>
      <c r="B226" s="2">
        <v>45835</v>
      </c>
      <c r="C226" t="s">
        <v>25</v>
      </c>
      <c r="D226" t="s">
        <v>13</v>
      </c>
      <c r="E226" t="s">
        <v>32</v>
      </c>
      <c r="F226" t="s">
        <v>28</v>
      </c>
      <c r="G226">
        <v>6</v>
      </c>
      <c r="H226" s="3">
        <v>27800</v>
      </c>
      <c r="I226" s="3">
        <v>166800</v>
      </c>
      <c r="J226" t="s">
        <v>16</v>
      </c>
      <c r="K226" t="s">
        <v>23</v>
      </c>
      <c r="L226" t="str">
        <f>TRIM(C226)</f>
        <v>Lotus Enterprises</v>
      </c>
    </row>
    <row r="227" spans="1:12" x14ac:dyDescent="0.3">
      <c r="A227" t="s">
        <v>290</v>
      </c>
      <c r="B227" s="2">
        <v>45665</v>
      </c>
      <c r="C227" t="s">
        <v>43</v>
      </c>
      <c r="D227" t="s">
        <v>26</v>
      </c>
      <c r="E227" t="s">
        <v>14</v>
      </c>
      <c r="F227" t="s">
        <v>15</v>
      </c>
      <c r="G227">
        <v>4</v>
      </c>
      <c r="H227" s="3">
        <v>1710</v>
      </c>
      <c r="I227" s="3">
        <v>6840</v>
      </c>
      <c r="J227" t="s">
        <v>29</v>
      </c>
      <c r="K227" t="s">
        <v>50</v>
      </c>
      <c r="L227" t="str">
        <f t="shared" ref="L227:L290" si="4">TRIM(C227)</f>
        <v>Royal Traders</v>
      </c>
    </row>
    <row r="228" spans="1:12" x14ac:dyDescent="0.3">
      <c r="A228" t="s">
        <v>291</v>
      </c>
      <c r="B228" s="2">
        <v>45947</v>
      </c>
      <c r="C228" t="s">
        <v>60</v>
      </c>
      <c r="D228" t="s">
        <v>53</v>
      </c>
      <c r="E228" t="s">
        <v>21</v>
      </c>
      <c r="F228" t="s">
        <v>15</v>
      </c>
      <c r="G228">
        <v>6</v>
      </c>
      <c r="H228" s="3">
        <v>850</v>
      </c>
      <c r="I228" s="3">
        <v>5100</v>
      </c>
      <c r="J228" t="s">
        <v>16</v>
      </c>
      <c r="K228" t="s">
        <v>37</v>
      </c>
      <c r="L228" t="str">
        <f t="shared" si="4"/>
        <v>Alpha Traders</v>
      </c>
    </row>
    <row r="229" spans="1:12" x14ac:dyDescent="0.3">
      <c r="A229" t="s">
        <v>292</v>
      </c>
      <c r="B229" s="2">
        <v>45683</v>
      </c>
      <c r="C229" t="s">
        <v>45</v>
      </c>
      <c r="D229" t="s">
        <v>53</v>
      </c>
      <c r="E229" t="s">
        <v>14</v>
      </c>
      <c r="F229" t="s">
        <v>15</v>
      </c>
      <c r="G229">
        <v>1</v>
      </c>
      <c r="H229" s="3">
        <v>1730</v>
      </c>
      <c r="I229" s="3">
        <v>1730</v>
      </c>
      <c r="J229" t="s">
        <v>29</v>
      </c>
      <c r="K229" t="s">
        <v>33</v>
      </c>
      <c r="L229" t="str">
        <f t="shared" si="4"/>
        <v>Horizon Distributors</v>
      </c>
    </row>
    <row r="230" spans="1:12" x14ac:dyDescent="0.3">
      <c r="A230" t="s">
        <v>293</v>
      </c>
      <c r="B230" s="2">
        <v>45658</v>
      </c>
      <c r="C230" t="s">
        <v>101</v>
      </c>
      <c r="D230" t="s">
        <v>53</v>
      </c>
      <c r="E230" t="s">
        <v>27</v>
      </c>
      <c r="F230" t="s">
        <v>28</v>
      </c>
      <c r="G230">
        <v>5</v>
      </c>
      <c r="H230" s="3">
        <v>55480</v>
      </c>
      <c r="I230" s="3">
        <v>277400</v>
      </c>
      <c r="J230" t="s">
        <v>22</v>
      </c>
      <c r="K230" t="s">
        <v>50</v>
      </c>
      <c r="L230" t="str">
        <f t="shared" si="4"/>
        <v>Sunrise Enterprises</v>
      </c>
    </row>
    <row r="231" spans="1:12" x14ac:dyDescent="0.3">
      <c r="A231" t="s">
        <v>294</v>
      </c>
      <c r="B231" s="2">
        <v>45849</v>
      </c>
      <c r="C231" t="s">
        <v>69</v>
      </c>
      <c r="D231" t="s">
        <v>53</v>
      </c>
      <c r="E231" t="s">
        <v>98</v>
      </c>
      <c r="F231" t="s">
        <v>15</v>
      </c>
      <c r="G231">
        <v>3</v>
      </c>
      <c r="H231" s="3">
        <v>2150</v>
      </c>
      <c r="I231" s="3">
        <v>6450</v>
      </c>
      <c r="J231" t="s">
        <v>29</v>
      </c>
      <c r="K231" t="s">
        <v>56</v>
      </c>
      <c r="L231" t="str">
        <f t="shared" si="4"/>
        <v>Future Mart</v>
      </c>
    </row>
    <row r="232" spans="1:12" x14ac:dyDescent="0.3">
      <c r="A232" t="s">
        <v>295</v>
      </c>
      <c r="B232" s="2">
        <v>45734</v>
      </c>
      <c r="C232" t="s">
        <v>93</v>
      </c>
      <c r="D232" t="s">
        <v>13</v>
      </c>
      <c r="E232" t="s">
        <v>21</v>
      </c>
      <c r="F232" t="s">
        <v>15</v>
      </c>
      <c r="G232">
        <v>6</v>
      </c>
      <c r="H232" s="3">
        <v>940</v>
      </c>
      <c r="I232" s="3">
        <v>5640</v>
      </c>
      <c r="J232" t="s">
        <v>22</v>
      </c>
      <c r="K232" t="s">
        <v>50</v>
      </c>
      <c r="L232" t="str">
        <f t="shared" si="4"/>
        <v>Iconic Retail</v>
      </c>
    </row>
    <row r="233" spans="1:12" x14ac:dyDescent="0.3">
      <c r="A233" t="s">
        <v>297</v>
      </c>
      <c r="B233" s="2">
        <v>45739</v>
      </c>
      <c r="C233" t="s">
        <v>49</v>
      </c>
      <c r="D233" t="s">
        <v>26</v>
      </c>
      <c r="E233" t="s">
        <v>55</v>
      </c>
      <c r="F233" t="s">
        <v>47</v>
      </c>
      <c r="G233">
        <v>8</v>
      </c>
      <c r="H233" s="3">
        <v>8420</v>
      </c>
      <c r="I233" s="3">
        <v>67360</v>
      </c>
      <c r="J233" t="s">
        <v>16</v>
      </c>
      <c r="K233" t="s">
        <v>17</v>
      </c>
      <c r="L233" t="str">
        <f t="shared" si="4"/>
        <v>Metro Mart</v>
      </c>
    </row>
    <row r="234" spans="1:12" x14ac:dyDescent="0.3">
      <c r="A234" t="s">
        <v>298</v>
      </c>
      <c r="B234" s="2">
        <v>45746</v>
      </c>
      <c r="C234" t="s">
        <v>31</v>
      </c>
      <c r="D234" t="s">
        <v>26</v>
      </c>
      <c r="E234" t="s">
        <v>46</v>
      </c>
      <c r="F234" t="s">
        <v>47</v>
      </c>
      <c r="G234">
        <v>2</v>
      </c>
      <c r="H234" s="3">
        <v>11610</v>
      </c>
      <c r="I234" s="3">
        <v>23220</v>
      </c>
      <c r="J234" t="s">
        <v>22</v>
      </c>
      <c r="K234" t="s">
        <v>50</v>
      </c>
      <c r="L234" t="str">
        <f t="shared" si="4"/>
        <v>Orbit Retail</v>
      </c>
    </row>
    <row r="235" spans="1:12" x14ac:dyDescent="0.3">
      <c r="A235" t="s">
        <v>299</v>
      </c>
      <c r="B235" s="2">
        <v>45881</v>
      </c>
      <c r="C235" t="s">
        <v>41</v>
      </c>
      <c r="D235" t="s">
        <v>53</v>
      </c>
      <c r="E235" t="s">
        <v>21</v>
      </c>
      <c r="F235" t="s">
        <v>15</v>
      </c>
      <c r="G235">
        <v>3</v>
      </c>
      <c r="H235" s="3">
        <v>910</v>
      </c>
      <c r="I235" s="3">
        <v>2730</v>
      </c>
      <c r="J235" t="s">
        <v>22</v>
      </c>
      <c r="K235" t="s">
        <v>37</v>
      </c>
      <c r="L235" t="str">
        <f t="shared" si="4"/>
        <v>QuickBuy Pvt Ltd</v>
      </c>
    </row>
    <row r="236" spans="1:12" x14ac:dyDescent="0.3">
      <c r="A236" t="s">
        <v>300</v>
      </c>
      <c r="B236" s="2">
        <v>45922</v>
      </c>
      <c r="C236" t="s">
        <v>85</v>
      </c>
      <c r="D236" t="s">
        <v>26</v>
      </c>
      <c r="E236" t="s">
        <v>32</v>
      </c>
      <c r="F236" t="s">
        <v>28</v>
      </c>
      <c r="G236">
        <v>1</v>
      </c>
      <c r="H236" s="3">
        <v>28640</v>
      </c>
      <c r="I236" s="3">
        <v>28640</v>
      </c>
      <c r="J236" t="s">
        <v>22</v>
      </c>
      <c r="K236" t="s">
        <v>37</v>
      </c>
      <c r="L236" t="str">
        <f t="shared" si="4"/>
        <v>Crest Retail</v>
      </c>
    </row>
    <row r="237" spans="1:12" x14ac:dyDescent="0.3">
      <c r="A237" t="s">
        <v>301</v>
      </c>
      <c r="B237" s="2">
        <v>45669</v>
      </c>
      <c r="C237" t="s">
        <v>75</v>
      </c>
      <c r="D237" t="s">
        <v>13</v>
      </c>
      <c r="E237" t="s">
        <v>21</v>
      </c>
      <c r="F237" t="s">
        <v>15</v>
      </c>
      <c r="G237">
        <v>1</v>
      </c>
      <c r="H237" s="3">
        <v>880</v>
      </c>
      <c r="I237" s="3">
        <v>880</v>
      </c>
      <c r="J237" t="s">
        <v>29</v>
      </c>
      <c r="K237" t="s">
        <v>33</v>
      </c>
      <c r="L237" t="str">
        <f t="shared" si="4"/>
        <v>Evergreen Stores</v>
      </c>
    </row>
    <row r="238" spans="1:12" x14ac:dyDescent="0.3">
      <c r="A238" t="s">
        <v>302</v>
      </c>
      <c r="B238" s="2">
        <v>45959</v>
      </c>
      <c r="C238" t="s">
        <v>43</v>
      </c>
      <c r="D238" t="s">
        <v>20</v>
      </c>
      <c r="E238" t="s">
        <v>21</v>
      </c>
      <c r="F238" t="s">
        <v>15</v>
      </c>
      <c r="G238">
        <v>2</v>
      </c>
      <c r="H238" s="3">
        <v>910</v>
      </c>
      <c r="I238" s="3">
        <v>1820</v>
      </c>
      <c r="J238" t="s">
        <v>16</v>
      </c>
      <c r="K238" t="s">
        <v>17</v>
      </c>
      <c r="L238" t="str">
        <f t="shared" si="4"/>
        <v>Royal Traders</v>
      </c>
    </row>
    <row r="239" spans="1:12" x14ac:dyDescent="0.3">
      <c r="A239" t="s">
        <v>303</v>
      </c>
      <c r="B239" s="2">
        <v>45960</v>
      </c>
      <c r="C239" t="s">
        <v>31</v>
      </c>
      <c r="D239" t="s">
        <v>26</v>
      </c>
      <c r="E239" t="s">
        <v>27</v>
      </c>
      <c r="F239" t="s">
        <v>28</v>
      </c>
      <c r="G239">
        <v>2</v>
      </c>
      <c r="H239" s="3">
        <v>47900</v>
      </c>
      <c r="I239" s="3">
        <v>95800</v>
      </c>
      <c r="J239" t="s">
        <v>16</v>
      </c>
      <c r="K239" t="s">
        <v>17</v>
      </c>
      <c r="L239" t="str">
        <f t="shared" si="4"/>
        <v>Orbit Retail</v>
      </c>
    </row>
    <row r="240" spans="1:12" x14ac:dyDescent="0.3">
      <c r="A240" t="s">
        <v>304</v>
      </c>
      <c r="B240" s="2">
        <v>45947</v>
      </c>
      <c r="C240" t="s">
        <v>89</v>
      </c>
      <c r="D240" t="s">
        <v>26</v>
      </c>
      <c r="E240" t="s">
        <v>27</v>
      </c>
      <c r="F240" t="s">
        <v>28</v>
      </c>
      <c r="G240">
        <v>8</v>
      </c>
      <c r="H240" s="3">
        <v>50770</v>
      </c>
      <c r="I240" s="3">
        <v>406160</v>
      </c>
      <c r="J240" t="s">
        <v>29</v>
      </c>
      <c r="K240" t="s">
        <v>33</v>
      </c>
      <c r="L240" t="str">
        <f t="shared" si="4"/>
        <v>Nova Solutions</v>
      </c>
    </row>
    <row r="241" spans="1:12" x14ac:dyDescent="0.3">
      <c r="A241" t="s">
        <v>305</v>
      </c>
      <c r="B241" s="2">
        <v>45793</v>
      </c>
      <c r="C241" t="s">
        <v>80</v>
      </c>
      <c r="D241" t="s">
        <v>13</v>
      </c>
      <c r="E241" t="s">
        <v>98</v>
      </c>
      <c r="F241" t="s">
        <v>15</v>
      </c>
      <c r="G241">
        <v>8</v>
      </c>
      <c r="H241" s="3">
        <v>2210</v>
      </c>
      <c r="I241" s="3">
        <v>17680</v>
      </c>
      <c r="J241" t="s">
        <v>22</v>
      </c>
      <c r="K241" t="s">
        <v>37</v>
      </c>
      <c r="L241" t="str">
        <f t="shared" si="4"/>
        <v>Prime Distributors</v>
      </c>
    </row>
    <row r="242" spans="1:12" x14ac:dyDescent="0.3">
      <c r="A242" t="s">
        <v>306</v>
      </c>
      <c r="B242" s="2">
        <v>46007</v>
      </c>
      <c r="C242" t="s">
        <v>52</v>
      </c>
      <c r="D242" t="s">
        <v>53</v>
      </c>
      <c r="E242" t="s">
        <v>21</v>
      </c>
      <c r="F242" t="s">
        <v>15</v>
      </c>
      <c r="G242">
        <v>10</v>
      </c>
      <c r="H242" s="3">
        <v>950</v>
      </c>
      <c r="I242" s="3">
        <v>9500</v>
      </c>
      <c r="J242" t="s">
        <v>16</v>
      </c>
      <c r="K242" t="s">
        <v>33</v>
      </c>
      <c r="L242" t="str">
        <f t="shared" si="4"/>
        <v>Kaveri Stores</v>
      </c>
    </row>
    <row r="243" spans="1:12" x14ac:dyDescent="0.3">
      <c r="A243" t="s">
        <v>307</v>
      </c>
      <c r="B243" s="2">
        <v>45969</v>
      </c>
      <c r="C243" t="s">
        <v>41</v>
      </c>
      <c r="D243" t="s">
        <v>13</v>
      </c>
      <c r="E243" t="s">
        <v>64</v>
      </c>
      <c r="F243" t="s">
        <v>28</v>
      </c>
      <c r="G243">
        <v>3</v>
      </c>
      <c r="H243" s="3">
        <v>14980</v>
      </c>
      <c r="I243" s="3">
        <v>44940</v>
      </c>
      <c r="J243" t="s">
        <v>29</v>
      </c>
      <c r="K243" t="s">
        <v>37</v>
      </c>
      <c r="L243" t="str">
        <f t="shared" si="4"/>
        <v>QuickBuy Pvt Ltd</v>
      </c>
    </row>
    <row r="244" spans="1:12" x14ac:dyDescent="0.3">
      <c r="A244" t="s">
        <v>308</v>
      </c>
      <c r="B244" s="2">
        <v>45967</v>
      </c>
      <c r="C244" t="s">
        <v>60</v>
      </c>
      <c r="D244" t="s">
        <v>20</v>
      </c>
      <c r="E244" t="s">
        <v>39</v>
      </c>
      <c r="F244" t="s">
        <v>15</v>
      </c>
      <c r="G244">
        <v>3</v>
      </c>
      <c r="H244" s="3">
        <v>2990</v>
      </c>
      <c r="I244" s="3">
        <v>8970</v>
      </c>
      <c r="J244" t="s">
        <v>29</v>
      </c>
      <c r="K244" t="s">
        <v>37</v>
      </c>
      <c r="L244" t="str">
        <f t="shared" si="4"/>
        <v>Alpha Traders</v>
      </c>
    </row>
    <row r="245" spans="1:12" x14ac:dyDescent="0.3">
      <c r="A245" t="s">
        <v>309</v>
      </c>
      <c r="B245" s="2">
        <v>45934</v>
      </c>
      <c r="C245" t="s">
        <v>93</v>
      </c>
      <c r="D245" t="s">
        <v>13</v>
      </c>
      <c r="E245" t="s">
        <v>27</v>
      </c>
      <c r="F245" t="s">
        <v>28</v>
      </c>
      <c r="G245">
        <v>1</v>
      </c>
      <c r="H245" s="3">
        <v>53150</v>
      </c>
      <c r="I245" s="3">
        <v>53150</v>
      </c>
      <c r="J245" t="s">
        <v>29</v>
      </c>
      <c r="K245" t="s">
        <v>37</v>
      </c>
      <c r="L245" t="str">
        <f t="shared" si="4"/>
        <v>Iconic Retail</v>
      </c>
    </row>
    <row r="246" spans="1:12" x14ac:dyDescent="0.3">
      <c r="A246" t="s">
        <v>310</v>
      </c>
      <c r="B246" s="2">
        <v>45809</v>
      </c>
      <c r="C246" t="s">
        <v>80</v>
      </c>
      <c r="D246" t="s">
        <v>26</v>
      </c>
      <c r="E246" t="s">
        <v>64</v>
      </c>
      <c r="F246" t="s">
        <v>28</v>
      </c>
      <c r="G246">
        <v>2</v>
      </c>
      <c r="H246" s="3">
        <v>15440</v>
      </c>
      <c r="I246" s="3">
        <v>30880</v>
      </c>
      <c r="J246" t="s">
        <v>22</v>
      </c>
      <c r="K246" t="s">
        <v>17</v>
      </c>
      <c r="L246" t="str">
        <f t="shared" si="4"/>
        <v>Prime Distributors</v>
      </c>
    </row>
    <row r="247" spans="1:12" x14ac:dyDescent="0.3">
      <c r="A247" t="s">
        <v>311</v>
      </c>
      <c r="B247" s="2">
        <v>45717</v>
      </c>
      <c r="C247" t="s">
        <v>12</v>
      </c>
      <c r="D247" t="s">
        <v>13</v>
      </c>
      <c r="E247" t="s">
        <v>55</v>
      </c>
      <c r="F247" t="s">
        <v>47</v>
      </c>
      <c r="G247">
        <v>2</v>
      </c>
      <c r="H247" s="3">
        <v>8940</v>
      </c>
      <c r="I247" s="3">
        <v>17880</v>
      </c>
      <c r="J247" t="s">
        <v>29</v>
      </c>
      <c r="K247" t="s">
        <v>37</v>
      </c>
      <c r="L247" t="str">
        <f t="shared" si="4"/>
        <v>Galaxy Tech</v>
      </c>
    </row>
    <row r="248" spans="1:12" x14ac:dyDescent="0.3">
      <c r="A248" t="s">
        <v>312</v>
      </c>
      <c r="B248" s="2">
        <v>45726</v>
      </c>
      <c r="C248" t="s">
        <v>31</v>
      </c>
      <c r="D248" t="s">
        <v>26</v>
      </c>
      <c r="E248" t="s">
        <v>55</v>
      </c>
      <c r="F248" t="s">
        <v>47</v>
      </c>
      <c r="G248">
        <v>1</v>
      </c>
      <c r="H248" s="3">
        <v>8400</v>
      </c>
      <c r="I248" s="3">
        <v>8400</v>
      </c>
      <c r="J248" t="s">
        <v>16</v>
      </c>
      <c r="K248" t="s">
        <v>33</v>
      </c>
      <c r="L248" t="str">
        <f t="shared" si="4"/>
        <v>Orbit Retail</v>
      </c>
    </row>
    <row r="249" spans="1:12" x14ac:dyDescent="0.3">
      <c r="A249" t="s">
        <v>313</v>
      </c>
      <c r="B249" s="2">
        <v>45950</v>
      </c>
      <c r="C249" t="s">
        <v>31</v>
      </c>
      <c r="D249" t="s">
        <v>53</v>
      </c>
      <c r="E249" t="s">
        <v>46</v>
      </c>
      <c r="F249" t="s">
        <v>47</v>
      </c>
      <c r="G249">
        <v>2</v>
      </c>
      <c r="H249" s="3">
        <v>11220</v>
      </c>
      <c r="I249" s="3">
        <v>22440</v>
      </c>
      <c r="J249" t="s">
        <v>16</v>
      </c>
      <c r="K249" t="s">
        <v>17</v>
      </c>
      <c r="L249" t="str">
        <f t="shared" si="4"/>
        <v>Orbit Retail</v>
      </c>
    </row>
    <row r="250" spans="1:12" x14ac:dyDescent="0.3">
      <c r="A250" t="s">
        <v>314</v>
      </c>
      <c r="B250" s="2">
        <v>45911</v>
      </c>
      <c r="C250" t="s">
        <v>19</v>
      </c>
      <c r="D250" t="s">
        <v>20</v>
      </c>
      <c r="E250" t="s">
        <v>64</v>
      </c>
      <c r="F250" t="s">
        <v>28</v>
      </c>
      <c r="G250">
        <v>2</v>
      </c>
      <c r="H250" s="3">
        <v>14720</v>
      </c>
      <c r="I250" s="3">
        <v>29440</v>
      </c>
      <c r="J250" t="s">
        <v>16</v>
      </c>
      <c r="K250" t="s">
        <v>50</v>
      </c>
      <c r="L250" t="str">
        <f t="shared" si="4"/>
        <v>Bright Solutions</v>
      </c>
    </row>
    <row r="251" spans="1:12" x14ac:dyDescent="0.3">
      <c r="A251" t="s">
        <v>315</v>
      </c>
      <c r="B251" s="2">
        <v>45898</v>
      </c>
      <c r="C251" t="s">
        <v>52</v>
      </c>
      <c r="D251" t="s">
        <v>53</v>
      </c>
      <c r="E251" t="s">
        <v>98</v>
      </c>
      <c r="F251" t="s">
        <v>15</v>
      </c>
      <c r="G251">
        <v>3</v>
      </c>
      <c r="H251" s="3">
        <v>2180</v>
      </c>
      <c r="I251" s="3">
        <v>6540</v>
      </c>
      <c r="J251" t="s">
        <v>22</v>
      </c>
      <c r="K251" t="s">
        <v>17</v>
      </c>
      <c r="L251" t="str">
        <f t="shared" si="4"/>
        <v>Kaveri Stores</v>
      </c>
    </row>
    <row r="252" spans="1:12" x14ac:dyDescent="0.3">
      <c r="A252" t="s">
        <v>316</v>
      </c>
      <c r="B252" s="2">
        <v>45766</v>
      </c>
      <c r="C252" t="s">
        <v>89</v>
      </c>
      <c r="D252" t="s">
        <v>20</v>
      </c>
      <c r="E252" t="s">
        <v>32</v>
      </c>
      <c r="F252" t="s">
        <v>28</v>
      </c>
      <c r="G252">
        <v>2</v>
      </c>
      <c r="H252" s="3">
        <v>29820</v>
      </c>
      <c r="I252" s="3">
        <v>59640</v>
      </c>
      <c r="J252" t="s">
        <v>29</v>
      </c>
      <c r="K252" t="s">
        <v>56</v>
      </c>
      <c r="L252" t="str">
        <f t="shared" si="4"/>
        <v>Nova Solutions</v>
      </c>
    </row>
    <row r="253" spans="1:12" x14ac:dyDescent="0.3">
      <c r="A253" t="s">
        <v>317</v>
      </c>
      <c r="B253" s="2">
        <v>45727</v>
      </c>
      <c r="C253" t="s">
        <v>93</v>
      </c>
      <c r="D253" t="s">
        <v>53</v>
      </c>
      <c r="E253" t="s">
        <v>32</v>
      </c>
      <c r="F253" t="s">
        <v>28</v>
      </c>
      <c r="G253">
        <v>3</v>
      </c>
      <c r="H253" s="3">
        <v>27400</v>
      </c>
      <c r="I253" s="3">
        <v>82200</v>
      </c>
      <c r="J253" t="s">
        <v>29</v>
      </c>
      <c r="K253" t="s">
        <v>56</v>
      </c>
      <c r="L253" t="str">
        <f t="shared" si="4"/>
        <v>Iconic Retail</v>
      </c>
    </row>
    <row r="254" spans="1:12" x14ac:dyDescent="0.3">
      <c r="A254" t="s">
        <v>318</v>
      </c>
      <c r="B254" s="2">
        <v>45817</v>
      </c>
      <c r="C254" t="s">
        <v>45</v>
      </c>
      <c r="D254" t="s">
        <v>13</v>
      </c>
      <c r="E254" t="s">
        <v>55</v>
      </c>
      <c r="F254" t="s">
        <v>47</v>
      </c>
      <c r="G254">
        <v>4</v>
      </c>
      <c r="H254" s="3">
        <v>7920</v>
      </c>
      <c r="I254" s="3">
        <v>31680</v>
      </c>
      <c r="J254" t="s">
        <v>22</v>
      </c>
      <c r="K254" t="s">
        <v>17</v>
      </c>
      <c r="L254" t="str">
        <f t="shared" si="4"/>
        <v>Horizon Distributors</v>
      </c>
    </row>
    <row r="255" spans="1:12" x14ac:dyDescent="0.3">
      <c r="A255" t="s">
        <v>319</v>
      </c>
      <c r="B255" s="2">
        <v>45983</v>
      </c>
      <c r="C255" t="s">
        <v>19</v>
      </c>
      <c r="D255" t="s">
        <v>53</v>
      </c>
      <c r="E255" t="s">
        <v>35</v>
      </c>
      <c r="F255" t="s">
        <v>36</v>
      </c>
      <c r="G255">
        <v>2</v>
      </c>
      <c r="H255" s="3">
        <v>12170</v>
      </c>
      <c r="I255" s="3">
        <v>24340</v>
      </c>
      <c r="J255" t="s">
        <v>22</v>
      </c>
      <c r="K255" t="s">
        <v>23</v>
      </c>
      <c r="L255" t="str">
        <f t="shared" si="4"/>
        <v>Bright Solutions</v>
      </c>
    </row>
    <row r="256" spans="1:12" x14ac:dyDescent="0.3">
      <c r="A256" t="s">
        <v>320</v>
      </c>
      <c r="B256" s="2">
        <v>45921</v>
      </c>
      <c r="C256" t="s">
        <v>25</v>
      </c>
      <c r="D256" t="s">
        <v>13</v>
      </c>
      <c r="E256" t="s">
        <v>35</v>
      </c>
      <c r="F256" t="s">
        <v>36</v>
      </c>
      <c r="G256">
        <v>5</v>
      </c>
      <c r="H256" s="3">
        <v>12430</v>
      </c>
      <c r="I256" s="3">
        <v>62150</v>
      </c>
      <c r="J256" t="s">
        <v>29</v>
      </c>
      <c r="K256" t="s">
        <v>50</v>
      </c>
      <c r="L256" t="str">
        <f t="shared" si="4"/>
        <v>Lotus Enterprises</v>
      </c>
    </row>
    <row r="257" spans="1:12" x14ac:dyDescent="0.3">
      <c r="A257" t="s">
        <v>321</v>
      </c>
      <c r="B257" s="2">
        <v>45763</v>
      </c>
      <c r="C257" t="s">
        <v>80</v>
      </c>
      <c r="D257" t="s">
        <v>20</v>
      </c>
      <c r="E257" t="s">
        <v>32</v>
      </c>
      <c r="F257" t="s">
        <v>28</v>
      </c>
      <c r="G257">
        <v>5</v>
      </c>
      <c r="H257" s="3">
        <v>26520</v>
      </c>
      <c r="I257" s="3">
        <v>132600</v>
      </c>
      <c r="J257" t="s">
        <v>29</v>
      </c>
      <c r="K257" t="s">
        <v>33</v>
      </c>
      <c r="L257" t="str">
        <f t="shared" si="4"/>
        <v>Prime Distributors</v>
      </c>
    </row>
    <row r="258" spans="1:12" x14ac:dyDescent="0.3">
      <c r="A258" t="s">
        <v>322</v>
      </c>
      <c r="B258" s="2">
        <v>45936</v>
      </c>
      <c r="C258" t="s">
        <v>101</v>
      </c>
      <c r="D258" t="s">
        <v>20</v>
      </c>
      <c r="E258" t="s">
        <v>39</v>
      </c>
      <c r="F258" t="s">
        <v>15</v>
      </c>
      <c r="G258">
        <v>3</v>
      </c>
      <c r="H258" s="3">
        <v>3140</v>
      </c>
      <c r="I258" s="3">
        <v>9420</v>
      </c>
      <c r="J258" t="s">
        <v>22</v>
      </c>
      <c r="K258" t="s">
        <v>50</v>
      </c>
      <c r="L258" t="str">
        <f t="shared" si="4"/>
        <v>Sunrise Enterprises</v>
      </c>
    </row>
    <row r="259" spans="1:12" x14ac:dyDescent="0.3">
      <c r="A259" t="s">
        <v>323</v>
      </c>
      <c r="B259" s="2">
        <v>45943</v>
      </c>
      <c r="C259" t="s">
        <v>66</v>
      </c>
      <c r="D259" t="s">
        <v>13</v>
      </c>
      <c r="E259" t="s">
        <v>98</v>
      </c>
      <c r="F259" t="s">
        <v>15</v>
      </c>
      <c r="G259">
        <v>5</v>
      </c>
      <c r="H259" s="3">
        <v>2110</v>
      </c>
      <c r="I259" s="3">
        <v>10550</v>
      </c>
      <c r="J259" t="s">
        <v>22</v>
      </c>
      <c r="K259" t="s">
        <v>37</v>
      </c>
      <c r="L259" t="str">
        <f t="shared" si="4"/>
        <v>Vertex Retail</v>
      </c>
    </row>
    <row r="260" spans="1:12" x14ac:dyDescent="0.3">
      <c r="A260" t="s">
        <v>324</v>
      </c>
      <c r="B260" s="2">
        <v>45695</v>
      </c>
      <c r="C260" t="s">
        <v>66</v>
      </c>
      <c r="D260" t="s">
        <v>13</v>
      </c>
      <c r="E260" t="s">
        <v>55</v>
      </c>
      <c r="F260" t="s">
        <v>47</v>
      </c>
      <c r="G260">
        <v>6</v>
      </c>
      <c r="H260" s="3">
        <v>8650</v>
      </c>
      <c r="I260" s="3">
        <v>51900</v>
      </c>
      <c r="J260" t="s">
        <v>29</v>
      </c>
      <c r="K260" t="s">
        <v>23</v>
      </c>
      <c r="L260" t="str">
        <f t="shared" si="4"/>
        <v>Vertex Retail</v>
      </c>
    </row>
    <row r="261" spans="1:12" x14ac:dyDescent="0.3">
      <c r="A261" t="s">
        <v>325</v>
      </c>
      <c r="B261" s="2">
        <v>46018</v>
      </c>
      <c r="C261" t="s">
        <v>19</v>
      </c>
      <c r="D261" t="s">
        <v>53</v>
      </c>
      <c r="E261" t="s">
        <v>27</v>
      </c>
      <c r="F261" t="s">
        <v>28</v>
      </c>
      <c r="G261">
        <v>2</v>
      </c>
      <c r="H261" s="3">
        <v>50680</v>
      </c>
      <c r="I261" s="3">
        <v>101360</v>
      </c>
      <c r="J261" t="s">
        <v>29</v>
      </c>
      <c r="K261" t="s">
        <v>56</v>
      </c>
      <c r="L261" t="str">
        <f t="shared" si="4"/>
        <v>Bright Solutions</v>
      </c>
    </row>
    <row r="262" spans="1:12" x14ac:dyDescent="0.3">
      <c r="A262" t="s">
        <v>326</v>
      </c>
      <c r="B262" s="2">
        <v>45811</v>
      </c>
      <c r="C262" t="s">
        <v>120</v>
      </c>
      <c r="D262" t="s">
        <v>13</v>
      </c>
      <c r="E262" t="s">
        <v>35</v>
      </c>
      <c r="F262" t="s">
        <v>36</v>
      </c>
      <c r="G262">
        <v>5</v>
      </c>
      <c r="H262" s="3">
        <v>12060</v>
      </c>
      <c r="I262" s="3">
        <v>60300</v>
      </c>
      <c r="J262" t="s">
        <v>16</v>
      </c>
      <c r="K262" t="s">
        <v>23</v>
      </c>
      <c r="L262" t="str">
        <f t="shared" si="4"/>
        <v>Delta Enterprises</v>
      </c>
    </row>
    <row r="263" spans="1:12" x14ac:dyDescent="0.3">
      <c r="A263" t="s">
        <v>327</v>
      </c>
      <c r="B263" s="2">
        <v>45758</v>
      </c>
      <c r="C263" t="s">
        <v>66</v>
      </c>
      <c r="D263" t="s">
        <v>13</v>
      </c>
      <c r="E263" t="s">
        <v>39</v>
      </c>
      <c r="F263" t="s">
        <v>15</v>
      </c>
      <c r="G263">
        <v>3</v>
      </c>
      <c r="H263" s="3">
        <v>3450</v>
      </c>
      <c r="I263" s="3">
        <v>10350</v>
      </c>
      <c r="J263" t="s">
        <v>16</v>
      </c>
      <c r="K263" t="s">
        <v>56</v>
      </c>
      <c r="L263" t="str">
        <f t="shared" si="4"/>
        <v>Vertex Retail</v>
      </c>
    </row>
    <row r="264" spans="1:12" x14ac:dyDescent="0.3">
      <c r="A264" t="s">
        <v>328</v>
      </c>
      <c r="B264" s="2">
        <v>45873</v>
      </c>
      <c r="C264" t="s">
        <v>103</v>
      </c>
      <c r="D264" t="s">
        <v>13</v>
      </c>
      <c r="E264" t="s">
        <v>27</v>
      </c>
      <c r="F264" t="s">
        <v>28</v>
      </c>
      <c r="G264">
        <v>5</v>
      </c>
      <c r="H264" s="3">
        <v>51010</v>
      </c>
      <c r="I264" s="3">
        <v>255050</v>
      </c>
      <c r="J264" t="s">
        <v>22</v>
      </c>
      <c r="K264" t="s">
        <v>23</v>
      </c>
      <c r="L264" t="str">
        <f t="shared" si="4"/>
        <v>Jupiter Systems</v>
      </c>
    </row>
    <row r="265" spans="1:12" x14ac:dyDescent="0.3">
      <c r="A265" t="s">
        <v>329</v>
      </c>
      <c r="B265" s="2">
        <v>45820</v>
      </c>
      <c r="C265" t="s">
        <v>19</v>
      </c>
      <c r="D265" t="s">
        <v>53</v>
      </c>
      <c r="E265" t="s">
        <v>64</v>
      </c>
      <c r="F265" t="s">
        <v>28</v>
      </c>
      <c r="G265">
        <v>2</v>
      </c>
      <c r="H265" s="3">
        <v>15240</v>
      </c>
      <c r="I265" s="3">
        <v>30480</v>
      </c>
      <c r="J265" t="s">
        <v>22</v>
      </c>
      <c r="K265" t="s">
        <v>17</v>
      </c>
      <c r="L265" t="str">
        <f t="shared" si="4"/>
        <v>Bright Solutions</v>
      </c>
    </row>
    <row r="266" spans="1:12" x14ac:dyDescent="0.3">
      <c r="A266" t="s">
        <v>330</v>
      </c>
      <c r="B266" s="2">
        <v>45682</v>
      </c>
      <c r="C266" t="s">
        <v>19</v>
      </c>
      <c r="D266" t="s">
        <v>26</v>
      </c>
      <c r="E266" t="s">
        <v>14</v>
      </c>
      <c r="F266" t="s">
        <v>15</v>
      </c>
      <c r="G266">
        <v>10</v>
      </c>
      <c r="H266" s="3">
        <v>1840</v>
      </c>
      <c r="I266" s="3">
        <v>18400</v>
      </c>
      <c r="J266" t="s">
        <v>29</v>
      </c>
      <c r="K266" t="s">
        <v>23</v>
      </c>
      <c r="L266" t="str">
        <f t="shared" si="4"/>
        <v>Bright Solutions</v>
      </c>
    </row>
    <row r="267" spans="1:12" x14ac:dyDescent="0.3">
      <c r="A267" t="s">
        <v>331</v>
      </c>
      <c r="B267" s="2">
        <v>45993</v>
      </c>
      <c r="C267" t="s">
        <v>89</v>
      </c>
      <c r="D267" t="s">
        <v>26</v>
      </c>
      <c r="E267" t="s">
        <v>14</v>
      </c>
      <c r="F267" t="s">
        <v>15</v>
      </c>
      <c r="G267">
        <v>4</v>
      </c>
      <c r="H267" s="3">
        <v>1700</v>
      </c>
      <c r="I267" s="3">
        <v>6800</v>
      </c>
      <c r="J267" t="s">
        <v>16</v>
      </c>
      <c r="K267" t="s">
        <v>17</v>
      </c>
      <c r="L267" t="str">
        <f t="shared" si="4"/>
        <v>Nova Solutions</v>
      </c>
    </row>
    <row r="268" spans="1:12" x14ac:dyDescent="0.3">
      <c r="A268" t="s">
        <v>332</v>
      </c>
      <c r="B268" s="2">
        <v>45682</v>
      </c>
      <c r="C268" t="s">
        <v>31</v>
      </c>
      <c r="D268" t="s">
        <v>20</v>
      </c>
      <c r="E268" t="s">
        <v>21</v>
      </c>
      <c r="F268" t="s">
        <v>15</v>
      </c>
      <c r="G268">
        <v>1</v>
      </c>
      <c r="H268" s="3">
        <v>880</v>
      </c>
      <c r="I268" s="3">
        <v>880</v>
      </c>
      <c r="J268" t="s">
        <v>29</v>
      </c>
      <c r="K268" t="s">
        <v>33</v>
      </c>
      <c r="L268" t="str">
        <f t="shared" si="4"/>
        <v>Orbit Retail</v>
      </c>
    </row>
    <row r="269" spans="1:12" x14ac:dyDescent="0.3">
      <c r="A269" t="s">
        <v>333</v>
      </c>
      <c r="B269" s="2">
        <v>45688</v>
      </c>
      <c r="C269" t="s">
        <v>89</v>
      </c>
      <c r="D269" t="s">
        <v>20</v>
      </c>
      <c r="E269" t="s">
        <v>55</v>
      </c>
      <c r="F269" t="s">
        <v>47</v>
      </c>
      <c r="G269">
        <v>1</v>
      </c>
      <c r="H269" s="3">
        <v>8630</v>
      </c>
      <c r="I269" s="3">
        <v>8630</v>
      </c>
      <c r="J269" t="s">
        <v>22</v>
      </c>
      <c r="K269" t="s">
        <v>50</v>
      </c>
      <c r="L269" t="str">
        <f t="shared" si="4"/>
        <v>Nova Solutions</v>
      </c>
    </row>
    <row r="270" spans="1:12" x14ac:dyDescent="0.3">
      <c r="A270" t="s">
        <v>334</v>
      </c>
      <c r="B270" s="2">
        <v>45911</v>
      </c>
      <c r="C270" t="s">
        <v>19</v>
      </c>
      <c r="D270" t="s">
        <v>20</v>
      </c>
      <c r="E270" t="s">
        <v>27</v>
      </c>
      <c r="F270" t="s">
        <v>28</v>
      </c>
      <c r="G270">
        <v>4</v>
      </c>
      <c r="H270" s="3">
        <v>49640</v>
      </c>
      <c r="I270" s="3">
        <v>198560</v>
      </c>
      <c r="J270" t="s">
        <v>16</v>
      </c>
      <c r="K270" t="s">
        <v>17</v>
      </c>
      <c r="L270" t="str">
        <f t="shared" si="4"/>
        <v>Bright Solutions</v>
      </c>
    </row>
    <row r="271" spans="1:12" x14ac:dyDescent="0.3">
      <c r="A271" t="s">
        <v>335</v>
      </c>
      <c r="B271" s="2">
        <v>46002</v>
      </c>
      <c r="C271" t="s">
        <v>19</v>
      </c>
      <c r="D271" t="s">
        <v>13</v>
      </c>
      <c r="E271" t="s">
        <v>21</v>
      </c>
      <c r="F271" t="s">
        <v>15</v>
      </c>
      <c r="G271">
        <v>3</v>
      </c>
      <c r="H271" s="3">
        <v>860</v>
      </c>
      <c r="I271" s="3">
        <v>2580</v>
      </c>
      <c r="J271" t="s">
        <v>16</v>
      </c>
      <c r="K271" t="s">
        <v>37</v>
      </c>
      <c r="L271" t="str">
        <f t="shared" si="4"/>
        <v>Bright Solutions</v>
      </c>
    </row>
    <row r="272" spans="1:12" x14ac:dyDescent="0.3">
      <c r="A272" t="s">
        <v>336</v>
      </c>
      <c r="B272" s="2">
        <v>45740</v>
      </c>
      <c r="C272" t="s">
        <v>93</v>
      </c>
      <c r="D272" t="s">
        <v>53</v>
      </c>
      <c r="E272" t="s">
        <v>27</v>
      </c>
      <c r="F272" t="s">
        <v>28</v>
      </c>
      <c r="G272">
        <v>4</v>
      </c>
      <c r="H272" s="3">
        <v>56020</v>
      </c>
      <c r="I272" s="3">
        <v>224080</v>
      </c>
      <c r="J272" t="s">
        <v>29</v>
      </c>
      <c r="K272" t="s">
        <v>56</v>
      </c>
      <c r="L272" t="str">
        <f t="shared" si="4"/>
        <v>Iconic Retail</v>
      </c>
    </row>
    <row r="273" spans="1:12" x14ac:dyDescent="0.3">
      <c r="A273" t="s">
        <v>337</v>
      </c>
      <c r="B273" s="2">
        <v>45909</v>
      </c>
      <c r="C273" t="s">
        <v>60</v>
      </c>
      <c r="D273" t="s">
        <v>20</v>
      </c>
      <c r="E273" t="s">
        <v>55</v>
      </c>
      <c r="F273" t="s">
        <v>47</v>
      </c>
      <c r="G273">
        <v>2</v>
      </c>
      <c r="H273" s="3">
        <v>8060</v>
      </c>
      <c r="I273" s="3">
        <v>16120</v>
      </c>
      <c r="J273" t="s">
        <v>16</v>
      </c>
      <c r="K273" t="s">
        <v>56</v>
      </c>
      <c r="L273" t="str">
        <f t="shared" si="4"/>
        <v>Alpha Traders</v>
      </c>
    </row>
    <row r="274" spans="1:12" x14ac:dyDescent="0.3">
      <c r="A274" t="s">
        <v>338</v>
      </c>
      <c r="B274" s="2">
        <v>45781</v>
      </c>
      <c r="C274" t="s">
        <v>69</v>
      </c>
      <c r="D274" t="s">
        <v>53</v>
      </c>
      <c r="E274" t="s">
        <v>64</v>
      </c>
      <c r="F274" t="s">
        <v>28</v>
      </c>
      <c r="G274">
        <v>2</v>
      </c>
      <c r="H274" s="3">
        <v>13740</v>
      </c>
      <c r="I274" s="3">
        <v>27480</v>
      </c>
      <c r="J274" t="s">
        <v>22</v>
      </c>
      <c r="K274" t="s">
        <v>50</v>
      </c>
      <c r="L274" t="str">
        <f t="shared" si="4"/>
        <v>Future Mart</v>
      </c>
    </row>
    <row r="275" spans="1:12" x14ac:dyDescent="0.3">
      <c r="A275" t="s">
        <v>339</v>
      </c>
      <c r="B275" s="2">
        <v>45664</v>
      </c>
      <c r="C275" t="s">
        <v>89</v>
      </c>
      <c r="D275" t="s">
        <v>53</v>
      </c>
      <c r="E275" t="s">
        <v>46</v>
      </c>
      <c r="F275" t="s">
        <v>47</v>
      </c>
      <c r="G275">
        <v>3</v>
      </c>
      <c r="H275" s="3">
        <v>11410</v>
      </c>
      <c r="I275" s="3">
        <v>34230</v>
      </c>
      <c r="J275" t="s">
        <v>29</v>
      </c>
      <c r="K275" t="s">
        <v>50</v>
      </c>
      <c r="L275" t="str">
        <f t="shared" si="4"/>
        <v>Nova Solutions</v>
      </c>
    </row>
    <row r="276" spans="1:12" x14ac:dyDescent="0.3">
      <c r="A276" t="s">
        <v>340</v>
      </c>
      <c r="B276" s="2">
        <v>45876</v>
      </c>
      <c r="C276" t="s">
        <v>69</v>
      </c>
      <c r="D276" t="s">
        <v>53</v>
      </c>
      <c r="E276" t="s">
        <v>55</v>
      </c>
      <c r="F276" t="s">
        <v>47</v>
      </c>
      <c r="G276">
        <v>1</v>
      </c>
      <c r="H276" s="3">
        <v>8390</v>
      </c>
      <c r="I276" s="3">
        <v>8390</v>
      </c>
      <c r="J276" t="s">
        <v>29</v>
      </c>
      <c r="K276" t="s">
        <v>37</v>
      </c>
      <c r="L276" t="str">
        <f t="shared" si="4"/>
        <v>Future Mart</v>
      </c>
    </row>
    <row r="277" spans="1:12" x14ac:dyDescent="0.3">
      <c r="A277" t="s">
        <v>341</v>
      </c>
      <c r="B277" s="2">
        <v>45670</v>
      </c>
      <c r="C277" t="s">
        <v>43</v>
      </c>
      <c r="D277" t="s">
        <v>26</v>
      </c>
      <c r="E277" t="s">
        <v>98</v>
      </c>
      <c r="F277" t="s">
        <v>15</v>
      </c>
      <c r="G277">
        <v>2</v>
      </c>
      <c r="H277" s="3">
        <v>2240</v>
      </c>
      <c r="I277" s="3">
        <v>4480</v>
      </c>
      <c r="J277" t="s">
        <v>29</v>
      </c>
      <c r="K277" t="s">
        <v>50</v>
      </c>
      <c r="L277" t="str">
        <f t="shared" si="4"/>
        <v>Royal Traders</v>
      </c>
    </row>
    <row r="278" spans="1:12" x14ac:dyDescent="0.3">
      <c r="A278" t="s">
        <v>342</v>
      </c>
      <c r="B278" s="2">
        <v>45845</v>
      </c>
      <c r="C278" t="s">
        <v>52</v>
      </c>
      <c r="D278" t="s">
        <v>53</v>
      </c>
      <c r="E278" t="s">
        <v>55</v>
      </c>
      <c r="F278" t="s">
        <v>47</v>
      </c>
      <c r="G278">
        <v>8</v>
      </c>
      <c r="H278" s="3">
        <v>8480</v>
      </c>
      <c r="I278" s="3">
        <v>67840</v>
      </c>
      <c r="J278" t="s">
        <v>29</v>
      </c>
      <c r="K278" t="s">
        <v>33</v>
      </c>
      <c r="L278" t="str">
        <f t="shared" si="4"/>
        <v>Kaveri Stores</v>
      </c>
    </row>
    <row r="279" spans="1:12" x14ac:dyDescent="0.3">
      <c r="A279" t="s">
        <v>343</v>
      </c>
      <c r="B279" s="2">
        <v>45691</v>
      </c>
      <c r="C279" t="s">
        <v>66</v>
      </c>
      <c r="D279" t="s">
        <v>20</v>
      </c>
      <c r="E279" t="s">
        <v>14</v>
      </c>
      <c r="F279" t="s">
        <v>15</v>
      </c>
      <c r="G279">
        <v>1</v>
      </c>
      <c r="H279" s="3">
        <v>1690</v>
      </c>
      <c r="I279" s="3">
        <v>1690</v>
      </c>
      <c r="J279" t="s">
        <v>22</v>
      </c>
      <c r="K279" t="s">
        <v>17</v>
      </c>
      <c r="L279" t="str">
        <f t="shared" si="4"/>
        <v>Vertex Retail</v>
      </c>
    </row>
    <row r="280" spans="1:12" x14ac:dyDescent="0.3">
      <c r="A280" t="s">
        <v>344</v>
      </c>
      <c r="B280" s="2">
        <v>45678</v>
      </c>
      <c r="C280" t="s">
        <v>103</v>
      </c>
      <c r="D280" t="s">
        <v>26</v>
      </c>
      <c r="E280" t="s">
        <v>14</v>
      </c>
      <c r="F280" t="s">
        <v>15</v>
      </c>
      <c r="G280">
        <v>2</v>
      </c>
      <c r="H280" s="3">
        <v>1790</v>
      </c>
      <c r="I280" s="3">
        <v>3580</v>
      </c>
      <c r="J280" t="s">
        <v>29</v>
      </c>
      <c r="K280" t="s">
        <v>56</v>
      </c>
      <c r="L280" t="str">
        <f t="shared" si="4"/>
        <v>Jupiter Systems</v>
      </c>
    </row>
    <row r="281" spans="1:12" x14ac:dyDescent="0.3">
      <c r="A281" t="s">
        <v>345</v>
      </c>
      <c r="B281" s="2">
        <v>45787</v>
      </c>
      <c r="C281" t="s">
        <v>80</v>
      </c>
      <c r="D281" t="s">
        <v>26</v>
      </c>
      <c r="E281" t="s">
        <v>27</v>
      </c>
      <c r="F281" t="s">
        <v>28</v>
      </c>
      <c r="G281">
        <v>4</v>
      </c>
      <c r="H281" s="3">
        <v>55680</v>
      </c>
      <c r="I281" s="3">
        <v>222720</v>
      </c>
      <c r="J281" t="s">
        <v>29</v>
      </c>
      <c r="K281" t="s">
        <v>37</v>
      </c>
      <c r="L281" t="str">
        <f t="shared" si="4"/>
        <v>Prime Distributors</v>
      </c>
    </row>
    <row r="282" spans="1:12" x14ac:dyDescent="0.3">
      <c r="A282" t="s">
        <v>346</v>
      </c>
      <c r="B282" s="2">
        <v>45941</v>
      </c>
      <c r="C282" t="s">
        <v>52</v>
      </c>
      <c r="D282" t="s">
        <v>53</v>
      </c>
      <c r="E282" t="s">
        <v>39</v>
      </c>
      <c r="F282" t="s">
        <v>15</v>
      </c>
      <c r="G282">
        <v>2</v>
      </c>
      <c r="H282" s="3">
        <v>3340</v>
      </c>
      <c r="I282" s="3">
        <v>6680</v>
      </c>
      <c r="J282" t="s">
        <v>22</v>
      </c>
      <c r="K282" t="s">
        <v>17</v>
      </c>
      <c r="L282" t="str">
        <f t="shared" si="4"/>
        <v>Kaveri Stores</v>
      </c>
    </row>
    <row r="283" spans="1:12" x14ac:dyDescent="0.3">
      <c r="A283" t="s">
        <v>347</v>
      </c>
      <c r="B283" s="2">
        <v>46000</v>
      </c>
      <c r="C283" t="s">
        <v>49</v>
      </c>
      <c r="D283" t="s">
        <v>53</v>
      </c>
      <c r="E283" t="s">
        <v>21</v>
      </c>
      <c r="F283" t="s">
        <v>15</v>
      </c>
      <c r="G283">
        <v>2</v>
      </c>
      <c r="H283" s="3">
        <v>960</v>
      </c>
      <c r="I283" s="3">
        <v>1920</v>
      </c>
      <c r="J283" t="s">
        <v>29</v>
      </c>
      <c r="K283" t="s">
        <v>33</v>
      </c>
      <c r="L283" t="str">
        <f t="shared" si="4"/>
        <v>Metro Mart</v>
      </c>
    </row>
    <row r="284" spans="1:12" x14ac:dyDescent="0.3">
      <c r="A284" t="s">
        <v>348</v>
      </c>
      <c r="B284" s="2">
        <v>45744</v>
      </c>
      <c r="C284" t="s">
        <v>52</v>
      </c>
      <c r="D284" t="s">
        <v>26</v>
      </c>
      <c r="E284" t="s">
        <v>35</v>
      </c>
      <c r="F284" t="s">
        <v>36</v>
      </c>
      <c r="G284">
        <v>4</v>
      </c>
      <c r="H284" s="3">
        <v>11580</v>
      </c>
      <c r="I284" s="3">
        <v>46320</v>
      </c>
      <c r="J284" t="s">
        <v>29</v>
      </c>
      <c r="K284" t="s">
        <v>17</v>
      </c>
      <c r="L284" t="str">
        <f t="shared" si="4"/>
        <v>Kaveri Stores</v>
      </c>
    </row>
    <row r="285" spans="1:12" x14ac:dyDescent="0.3">
      <c r="A285" t="s">
        <v>349</v>
      </c>
      <c r="B285" s="2">
        <v>45934</v>
      </c>
      <c r="C285" t="s">
        <v>45</v>
      </c>
      <c r="D285" t="s">
        <v>13</v>
      </c>
      <c r="E285" t="s">
        <v>27</v>
      </c>
      <c r="F285" t="s">
        <v>28</v>
      </c>
      <c r="G285">
        <v>1</v>
      </c>
      <c r="H285" s="3">
        <v>55800</v>
      </c>
      <c r="I285" s="3">
        <v>55800</v>
      </c>
      <c r="J285" t="s">
        <v>16</v>
      </c>
      <c r="K285" t="s">
        <v>23</v>
      </c>
      <c r="L285" t="str">
        <f t="shared" si="4"/>
        <v>Horizon Distributors</v>
      </c>
    </row>
    <row r="286" spans="1:12" x14ac:dyDescent="0.3">
      <c r="A286" t="s">
        <v>350</v>
      </c>
      <c r="B286" s="2">
        <v>45685</v>
      </c>
      <c r="C286" t="s">
        <v>101</v>
      </c>
      <c r="D286" t="s">
        <v>53</v>
      </c>
      <c r="E286" t="s">
        <v>39</v>
      </c>
      <c r="F286" t="s">
        <v>15</v>
      </c>
      <c r="G286">
        <v>10</v>
      </c>
      <c r="H286" s="3">
        <v>3430</v>
      </c>
      <c r="I286" s="3">
        <v>34300</v>
      </c>
      <c r="J286" t="s">
        <v>22</v>
      </c>
      <c r="K286" t="s">
        <v>50</v>
      </c>
      <c r="L286" t="str">
        <f t="shared" si="4"/>
        <v>Sunrise Enterprises</v>
      </c>
    </row>
    <row r="287" spans="1:12" x14ac:dyDescent="0.3">
      <c r="A287" t="s">
        <v>351</v>
      </c>
      <c r="B287" s="2">
        <v>45795</v>
      </c>
      <c r="C287" t="s">
        <v>69</v>
      </c>
      <c r="D287" t="s">
        <v>53</v>
      </c>
      <c r="E287" t="s">
        <v>35</v>
      </c>
      <c r="F287" t="s">
        <v>36</v>
      </c>
      <c r="G287">
        <v>6</v>
      </c>
      <c r="H287" s="3">
        <v>11640</v>
      </c>
      <c r="I287" s="3">
        <v>69840</v>
      </c>
      <c r="J287" t="s">
        <v>29</v>
      </c>
      <c r="K287" t="s">
        <v>56</v>
      </c>
      <c r="L287" t="str">
        <f t="shared" si="4"/>
        <v>Future Mart</v>
      </c>
    </row>
    <row r="288" spans="1:12" x14ac:dyDescent="0.3">
      <c r="A288" t="s">
        <v>352</v>
      </c>
      <c r="B288" s="2">
        <v>45949</v>
      </c>
      <c r="C288" t="s">
        <v>120</v>
      </c>
      <c r="D288" t="s">
        <v>13</v>
      </c>
      <c r="E288" t="s">
        <v>39</v>
      </c>
      <c r="F288" t="s">
        <v>15</v>
      </c>
      <c r="G288">
        <v>4</v>
      </c>
      <c r="H288" s="3">
        <v>2950</v>
      </c>
      <c r="I288" s="3">
        <v>11800</v>
      </c>
      <c r="J288" t="s">
        <v>29</v>
      </c>
      <c r="K288" t="s">
        <v>56</v>
      </c>
      <c r="L288" t="str">
        <f t="shared" si="4"/>
        <v>Delta Enterprises</v>
      </c>
    </row>
    <row r="289" spans="1:12" x14ac:dyDescent="0.3">
      <c r="A289" t="s">
        <v>353</v>
      </c>
      <c r="B289" s="2">
        <v>45923</v>
      </c>
      <c r="C289" t="s">
        <v>120</v>
      </c>
      <c r="D289" t="s">
        <v>20</v>
      </c>
      <c r="E289" t="s">
        <v>39</v>
      </c>
      <c r="F289" t="s">
        <v>15</v>
      </c>
      <c r="G289">
        <v>3</v>
      </c>
      <c r="H289" s="3">
        <v>3400</v>
      </c>
      <c r="I289" s="3">
        <v>10200</v>
      </c>
      <c r="J289" t="s">
        <v>16</v>
      </c>
      <c r="K289" t="s">
        <v>37</v>
      </c>
      <c r="L289" t="str">
        <f t="shared" si="4"/>
        <v>Delta Enterprises</v>
      </c>
    </row>
    <row r="290" spans="1:12" x14ac:dyDescent="0.3">
      <c r="A290" t="s">
        <v>354</v>
      </c>
      <c r="B290" s="2">
        <v>45945</v>
      </c>
      <c r="C290" t="s">
        <v>19</v>
      </c>
      <c r="D290" t="s">
        <v>53</v>
      </c>
      <c r="E290" t="s">
        <v>32</v>
      </c>
      <c r="F290" t="s">
        <v>28</v>
      </c>
      <c r="G290">
        <v>4</v>
      </c>
      <c r="H290" s="3">
        <v>29110</v>
      </c>
      <c r="I290" s="3">
        <v>116440</v>
      </c>
      <c r="J290" t="s">
        <v>22</v>
      </c>
      <c r="K290" t="s">
        <v>56</v>
      </c>
      <c r="L290" t="str">
        <f t="shared" si="4"/>
        <v>Bright Solutions</v>
      </c>
    </row>
    <row r="291" spans="1:12" x14ac:dyDescent="0.3">
      <c r="A291" t="s">
        <v>355</v>
      </c>
      <c r="B291" s="2">
        <v>45972</v>
      </c>
      <c r="C291" t="s">
        <v>89</v>
      </c>
      <c r="D291" t="s">
        <v>20</v>
      </c>
      <c r="E291" t="s">
        <v>39</v>
      </c>
      <c r="F291" t="s">
        <v>15</v>
      </c>
      <c r="G291">
        <v>2</v>
      </c>
      <c r="H291" s="3">
        <v>3130</v>
      </c>
      <c r="I291" s="3">
        <v>6260</v>
      </c>
      <c r="J291" t="s">
        <v>22</v>
      </c>
      <c r="K291" t="s">
        <v>56</v>
      </c>
      <c r="L291" t="str">
        <f t="shared" ref="L291:L301" si="5">TRIM(C291)</f>
        <v>Nova Solutions</v>
      </c>
    </row>
    <row r="292" spans="1:12" x14ac:dyDescent="0.3">
      <c r="A292" t="s">
        <v>356</v>
      </c>
      <c r="B292" s="2">
        <v>45829</v>
      </c>
      <c r="C292" t="s">
        <v>101</v>
      </c>
      <c r="D292" t="s">
        <v>13</v>
      </c>
      <c r="E292" t="s">
        <v>64</v>
      </c>
      <c r="F292" t="s">
        <v>28</v>
      </c>
      <c r="G292">
        <v>2</v>
      </c>
      <c r="H292" s="3">
        <v>15490</v>
      </c>
      <c r="I292" s="3">
        <v>30980</v>
      </c>
      <c r="J292" t="s">
        <v>29</v>
      </c>
      <c r="K292" t="s">
        <v>50</v>
      </c>
      <c r="L292" t="str">
        <f t="shared" si="5"/>
        <v>Sunrise Enterprises</v>
      </c>
    </row>
    <row r="293" spans="1:12" x14ac:dyDescent="0.3">
      <c r="A293" t="s">
        <v>357</v>
      </c>
      <c r="B293" s="2">
        <v>45925</v>
      </c>
      <c r="C293" t="s">
        <v>93</v>
      </c>
      <c r="D293" t="s">
        <v>53</v>
      </c>
      <c r="E293" t="s">
        <v>14</v>
      </c>
      <c r="F293" t="s">
        <v>15</v>
      </c>
      <c r="G293">
        <v>5</v>
      </c>
      <c r="H293" s="3">
        <v>1900</v>
      </c>
      <c r="I293" s="3">
        <v>9500</v>
      </c>
      <c r="J293" t="s">
        <v>22</v>
      </c>
      <c r="K293" t="s">
        <v>50</v>
      </c>
      <c r="L293" t="str">
        <f t="shared" si="5"/>
        <v>Iconic Retail</v>
      </c>
    </row>
    <row r="294" spans="1:12" x14ac:dyDescent="0.3">
      <c r="A294" t="s">
        <v>358</v>
      </c>
      <c r="B294" s="2">
        <v>46017</v>
      </c>
      <c r="C294" t="s">
        <v>89</v>
      </c>
      <c r="D294" t="s">
        <v>53</v>
      </c>
      <c r="E294" t="s">
        <v>98</v>
      </c>
      <c r="F294" t="s">
        <v>15</v>
      </c>
      <c r="G294">
        <v>3</v>
      </c>
      <c r="H294" s="3">
        <v>2320</v>
      </c>
      <c r="I294" s="3">
        <v>6960</v>
      </c>
      <c r="J294" t="s">
        <v>16</v>
      </c>
      <c r="K294" t="s">
        <v>33</v>
      </c>
      <c r="L294" t="str">
        <f t="shared" si="5"/>
        <v>Nova Solutions</v>
      </c>
    </row>
    <row r="295" spans="1:12" x14ac:dyDescent="0.3">
      <c r="A295" t="s">
        <v>359</v>
      </c>
      <c r="B295" s="2">
        <v>46002</v>
      </c>
      <c r="C295" t="s">
        <v>49</v>
      </c>
      <c r="D295" t="s">
        <v>13</v>
      </c>
      <c r="E295" t="s">
        <v>27</v>
      </c>
      <c r="F295" t="s">
        <v>28</v>
      </c>
      <c r="G295">
        <v>2</v>
      </c>
      <c r="H295" s="3">
        <v>54110</v>
      </c>
      <c r="I295" s="3">
        <v>108220</v>
      </c>
      <c r="J295" t="s">
        <v>22</v>
      </c>
      <c r="K295" t="s">
        <v>50</v>
      </c>
      <c r="L295" t="str">
        <f t="shared" si="5"/>
        <v>Metro Mart</v>
      </c>
    </row>
    <row r="296" spans="1:12" x14ac:dyDescent="0.3">
      <c r="A296" t="s">
        <v>360</v>
      </c>
      <c r="B296" s="2">
        <v>45745</v>
      </c>
      <c r="C296" t="s">
        <v>25</v>
      </c>
      <c r="D296" t="s">
        <v>26</v>
      </c>
      <c r="E296" t="s">
        <v>98</v>
      </c>
      <c r="F296" t="s">
        <v>15</v>
      </c>
      <c r="G296">
        <v>1</v>
      </c>
      <c r="H296" s="3">
        <v>2360</v>
      </c>
      <c r="I296" s="3">
        <v>2360</v>
      </c>
      <c r="J296" t="s">
        <v>22</v>
      </c>
      <c r="K296" t="s">
        <v>17</v>
      </c>
      <c r="L296" t="str">
        <f t="shared" si="5"/>
        <v>Lotus Enterprises</v>
      </c>
    </row>
    <row r="297" spans="1:12" x14ac:dyDescent="0.3">
      <c r="A297" t="s">
        <v>361</v>
      </c>
      <c r="B297" s="2">
        <v>45775</v>
      </c>
      <c r="C297" t="s">
        <v>101</v>
      </c>
      <c r="D297" t="s">
        <v>53</v>
      </c>
      <c r="E297" t="s">
        <v>98</v>
      </c>
      <c r="F297" t="s">
        <v>15</v>
      </c>
      <c r="G297">
        <v>5</v>
      </c>
      <c r="H297" s="3">
        <v>2240</v>
      </c>
      <c r="I297" s="3">
        <v>11200</v>
      </c>
      <c r="J297" t="s">
        <v>29</v>
      </c>
      <c r="K297" t="s">
        <v>23</v>
      </c>
      <c r="L297" t="str">
        <f t="shared" si="5"/>
        <v>Sunrise Enterprises</v>
      </c>
    </row>
    <row r="298" spans="1:12" x14ac:dyDescent="0.3">
      <c r="A298" t="s">
        <v>362</v>
      </c>
      <c r="B298" s="2">
        <v>45768</v>
      </c>
      <c r="C298" t="s">
        <v>45</v>
      </c>
      <c r="D298" t="s">
        <v>13</v>
      </c>
      <c r="E298" t="s">
        <v>46</v>
      </c>
      <c r="F298" t="s">
        <v>47</v>
      </c>
      <c r="G298">
        <v>4</v>
      </c>
      <c r="H298" s="3">
        <v>12500</v>
      </c>
      <c r="I298" s="3">
        <v>50000</v>
      </c>
      <c r="J298" t="s">
        <v>22</v>
      </c>
      <c r="K298" t="s">
        <v>56</v>
      </c>
      <c r="L298" t="str">
        <f t="shared" si="5"/>
        <v>Horizon Distributors</v>
      </c>
    </row>
    <row r="299" spans="1:12" x14ac:dyDescent="0.3">
      <c r="A299" t="s">
        <v>363</v>
      </c>
      <c r="B299" s="2">
        <v>45881</v>
      </c>
      <c r="C299" t="s">
        <v>103</v>
      </c>
      <c r="D299" t="s">
        <v>13</v>
      </c>
      <c r="E299" t="s">
        <v>98</v>
      </c>
      <c r="F299" t="s">
        <v>15</v>
      </c>
      <c r="G299">
        <v>6</v>
      </c>
      <c r="H299" s="3">
        <v>2120</v>
      </c>
      <c r="I299" s="3">
        <v>12720</v>
      </c>
      <c r="J299" t="s">
        <v>16</v>
      </c>
      <c r="K299" t="s">
        <v>56</v>
      </c>
      <c r="L299" t="str">
        <f t="shared" si="5"/>
        <v>Jupiter Systems</v>
      </c>
    </row>
    <row r="300" spans="1:12" x14ac:dyDescent="0.3">
      <c r="A300" t="s">
        <v>364</v>
      </c>
      <c r="B300" s="2">
        <v>45723</v>
      </c>
      <c r="C300" t="s">
        <v>93</v>
      </c>
      <c r="D300" t="s">
        <v>20</v>
      </c>
      <c r="E300" t="s">
        <v>35</v>
      </c>
      <c r="F300" t="s">
        <v>36</v>
      </c>
      <c r="G300">
        <v>5</v>
      </c>
      <c r="H300" s="3">
        <v>12730</v>
      </c>
      <c r="I300" s="3">
        <v>63650</v>
      </c>
      <c r="J300" t="s">
        <v>29</v>
      </c>
      <c r="K300" t="s">
        <v>56</v>
      </c>
      <c r="L300" t="str">
        <f t="shared" si="5"/>
        <v>Iconic Retail</v>
      </c>
    </row>
    <row r="301" spans="1:12" x14ac:dyDescent="0.3">
      <c r="A301" t="s">
        <v>365</v>
      </c>
      <c r="B301" s="2">
        <v>45711</v>
      </c>
      <c r="C301" t="s">
        <v>25</v>
      </c>
      <c r="D301" t="s">
        <v>26</v>
      </c>
      <c r="E301" t="s">
        <v>35</v>
      </c>
      <c r="F301" t="s">
        <v>36</v>
      </c>
      <c r="G301">
        <v>1</v>
      </c>
      <c r="H301" s="3">
        <v>13020</v>
      </c>
      <c r="I301" s="3">
        <v>13020</v>
      </c>
      <c r="J301" t="s">
        <v>22</v>
      </c>
      <c r="K301" t="s">
        <v>23</v>
      </c>
      <c r="L301" t="str">
        <f t="shared" si="5"/>
        <v>Lotus Enterprises</v>
      </c>
    </row>
  </sheetData>
  <autoFilter ref="A1:O301" xr:uid="{50D1DE9C-E2DB-437E-AD46-198376BEB08D}"/>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86F46-2E60-4A36-9E37-E0CB925496A6}">
  <dimension ref="A1:L83"/>
  <sheetViews>
    <sheetView topLeftCell="A62" workbookViewId="0">
      <selection activeCell="D83" sqref="D83"/>
    </sheetView>
  </sheetViews>
  <sheetFormatPr defaultRowHeight="14.4" x14ac:dyDescent="0.3"/>
  <cols>
    <col min="1" max="1" width="24.33203125" customWidth="1"/>
    <col min="2" max="2" width="13.88671875" bestFit="1" customWidth="1"/>
    <col min="3" max="3" width="12.6640625" bestFit="1" customWidth="1"/>
    <col min="4" max="4" width="12.77734375" bestFit="1" customWidth="1"/>
    <col min="5" max="5" width="13.5546875" bestFit="1" customWidth="1"/>
    <col min="6" max="6" width="12.5546875" bestFit="1" customWidth="1"/>
    <col min="7" max="7" width="15.6640625" bestFit="1" customWidth="1"/>
    <col min="8" max="8" width="14.88671875" bestFit="1" customWidth="1"/>
    <col min="10" max="10" width="11.88671875" customWidth="1"/>
    <col min="11" max="11" width="12.77734375" customWidth="1"/>
    <col min="12" max="12" width="10.44140625" bestFit="1" customWidth="1"/>
  </cols>
  <sheetData>
    <row r="1" spans="1:10" s="6" customFormat="1" x14ac:dyDescent="0.3">
      <c r="A1" s="6" t="s">
        <v>378</v>
      </c>
      <c r="B1" s="6" t="s">
        <v>379</v>
      </c>
    </row>
    <row r="2" spans="1:10" x14ac:dyDescent="0.3">
      <c r="A2" t="s">
        <v>380</v>
      </c>
      <c r="B2">
        <f>SUM('Cleaned Data'!I2:I301)</f>
        <v>18326410</v>
      </c>
    </row>
    <row r="3" spans="1:10" x14ac:dyDescent="0.3">
      <c r="A3" t="s">
        <v>381</v>
      </c>
      <c r="B3">
        <f>COUNTA('Cleaned Data'!A2:A301)</f>
        <v>300</v>
      </c>
      <c r="F3" s="8" t="s">
        <v>400</v>
      </c>
      <c r="G3" t="s">
        <v>402</v>
      </c>
    </row>
    <row r="4" spans="1:10" x14ac:dyDescent="0.3">
      <c r="A4" t="s">
        <v>382</v>
      </c>
      <c r="B4">
        <f>SUM('Cleaned Data'!G2:G301)</f>
        <v>1071</v>
      </c>
      <c r="F4" s="9" t="s">
        <v>26</v>
      </c>
      <c r="G4" s="3">
        <v>6264470</v>
      </c>
    </row>
    <row r="5" spans="1:10" x14ac:dyDescent="0.3">
      <c r="A5" t="s">
        <v>383</v>
      </c>
      <c r="B5" s="7">
        <f>B2/B3</f>
        <v>61088.033333333333</v>
      </c>
      <c r="F5" s="9" t="s">
        <v>53</v>
      </c>
      <c r="G5" s="3">
        <v>4463440</v>
      </c>
    </row>
    <row r="6" spans="1:10" x14ac:dyDescent="0.3">
      <c r="F6" s="9" t="s">
        <v>13</v>
      </c>
      <c r="G6" s="3">
        <v>3824470</v>
      </c>
    </row>
    <row r="7" spans="1:10" x14ac:dyDescent="0.3">
      <c r="F7" s="9" t="s">
        <v>20</v>
      </c>
      <c r="G7" s="3">
        <v>3460650</v>
      </c>
    </row>
    <row r="8" spans="1:10" s="6" customFormat="1" x14ac:dyDescent="0.3">
      <c r="A8" s="6" t="s">
        <v>384</v>
      </c>
      <c r="B8" s="6" t="s">
        <v>8</v>
      </c>
      <c r="F8" s="9" t="s">
        <v>377</v>
      </c>
      <c r="G8" s="3">
        <v>313380</v>
      </c>
      <c r="H8"/>
      <c r="I8"/>
      <c r="J8"/>
    </row>
    <row r="9" spans="1:10" x14ac:dyDescent="0.3">
      <c r="A9" t="s">
        <v>385</v>
      </c>
      <c r="B9" s="7">
        <f>SUMIFS('Cleaned Data'!$I$2:$I$301,'Cleaned Data'!$B$2:$B$301,"&gt;="&amp;DATE(2025,1,1),'Cleaned Data'!$B$2:$B$301,"&lt;"&amp;DATE(2025,2,1))</f>
        <v>1728820</v>
      </c>
      <c r="F9" s="9" t="s">
        <v>401</v>
      </c>
      <c r="G9" s="3">
        <v>18326410</v>
      </c>
    </row>
    <row r="10" spans="1:10" x14ac:dyDescent="0.3">
      <c r="A10" t="s">
        <v>386</v>
      </c>
      <c r="B10" s="7">
        <f>SUMIFS('Cleaned Data'!$I$2:$I$301,'Cleaned Data'!$B$2:$B$301,"&gt;="&amp;DATE(2025,2,1),'Cleaned Data'!$B$2:$B$301,"&lt;"&amp;DATE(2025,3,1))</f>
        <v>1151990</v>
      </c>
    </row>
    <row r="11" spans="1:10" x14ac:dyDescent="0.3">
      <c r="A11" t="s">
        <v>387</v>
      </c>
      <c r="B11" s="7">
        <f>SUMIFS('Cleaned Data'!$I$2:$I$301,'Cleaned Data'!$B$2:$B$301,"&gt;="&amp;DATE(2025,3,1),'Cleaned Data'!$B$2:$B$301,"&lt;"&amp;DATE(2025,4,1))</f>
        <v>1436990</v>
      </c>
    </row>
    <row r="12" spans="1:10" x14ac:dyDescent="0.3">
      <c r="A12" t="s">
        <v>388</v>
      </c>
      <c r="B12" s="7">
        <f>SUMIFS('Cleaned Data'!$I$2:$I$301,'Cleaned Data'!$B$2:$B$301,"&gt;="&amp;DATE(2025,4,1),'Cleaned Data'!$B$2:$B$301,"&lt;"&amp;DATE(2025,5,1))</f>
        <v>1541050</v>
      </c>
      <c r="F12" s="8" t="s">
        <v>400</v>
      </c>
      <c r="G12" t="s">
        <v>410</v>
      </c>
    </row>
    <row r="13" spans="1:10" x14ac:dyDescent="0.3">
      <c r="A13" t="s">
        <v>389</v>
      </c>
      <c r="B13" s="7">
        <f>SUMIFS('Cleaned Data'!$I$2:$I$301,'Cleaned Data'!$B$2:$B$301,"&gt;="&amp;DATE(2025,5,1),'Cleaned Data'!$B$2:$B$301,"&lt;"&amp;DATE(2025,6,1))</f>
        <v>2609370</v>
      </c>
      <c r="F13" s="9" t="s">
        <v>385</v>
      </c>
      <c r="G13" s="14">
        <v>1728820</v>
      </c>
    </row>
    <row r="14" spans="1:10" x14ac:dyDescent="0.3">
      <c r="A14" t="s">
        <v>390</v>
      </c>
      <c r="B14" s="7">
        <f>SUMIFS('Cleaned Data'!$I$2:$I$301,'Cleaned Data'!$B$2:$B$301,"&gt;="&amp;DATE(2025,6,1),'Cleaned Data'!$B$2:$B$301,"&lt;"&amp;DATE(2025,7,1))</f>
        <v>1211550</v>
      </c>
      <c r="F14" s="9" t="s">
        <v>386</v>
      </c>
      <c r="G14" s="14">
        <v>1151990</v>
      </c>
    </row>
    <row r="15" spans="1:10" x14ac:dyDescent="0.3">
      <c r="A15" t="s">
        <v>391</v>
      </c>
      <c r="B15" s="7">
        <f>SUMIFS('Cleaned Data'!$I$2:$I$301,'Cleaned Data'!$B$2:$B$301,"&gt;="&amp;DATE(2025,7,1),'Cleaned Data'!$B$2:$B$301,"&lt;"&amp;DATE(2025,8,1))</f>
        <v>1248590</v>
      </c>
      <c r="F15" s="9" t="s">
        <v>387</v>
      </c>
      <c r="G15" s="14">
        <v>1436990</v>
      </c>
    </row>
    <row r="16" spans="1:10" x14ac:dyDescent="0.3">
      <c r="A16" t="s">
        <v>392</v>
      </c>
      <c r="B16" s="7">
        <f>SUMIFS('Cleaned Data'!$I$2:$I$301,'Cleaned Data'!$B$2:$B$301,"&gt;="&amp;DATE(2025,8,1),'Cleaned Data'!$B$2:$B$301,"&lt;"&amp;DATE(2025,9,1))</f>
        <v>840840</v>
      </c>
      <c r="F16" s="9" t="s">
        <v>388</v>
      </c>
      <c r="G16" s="14">
        <v>1541050</v>
      </c>
    </row>
    <row r="17" spans="1:12" x14ac:dyDescent="0.3">
      <c r="A17" t="s">
        <v>393</v>
      </c>
      <c r="B17" s="7">
        <f>SUMIFS('Cleaned Data'!$I$2:$I$301,'Cleaned Data'!$B$2:$B$301,"&gt;="&amp;DATE(2025,9,1),'Cleaned Data'!$B$2:$B$301,"&lt;"&amp;DATE(2025,10,1))</f>
        <v>1773180</v>
      </c>
      <c r="F17" s="9" t="s">
        <v>389</v>
      </c>
      <c r="G17" s="14">
        <v>2609370</v>
      </c>
    </row>
    <row r="18" spans="1:12" x14ac:dyDescent="0.3">
      <c r="A18" t="s">
        <v>394</v>
      </c>
      <c r="B18" s="7">
        <f>SUMIFS('Cleaned Data'!$I$2:$I$301,'Cleaned Data'!$B$2:$B$301,"&gt;="&amp;DATE(2025,10,1),'Cleaned Data'!$B$2:$B$301,"&lt;"&amp;DATE(2025,11,1))</f>
        <v>2185110</v>
      </c>
      <c r="D18" s="7"/>
      <c r="F18" s="9" t="s">
        <v>390</v>
      </c>
      <c r="G18" s="14">
        <v>1211550</v>
      </c>
    </row>
    <row r="19" spans="1:12" x14ac:dyDescent="0.3">
      <c r="A19" t="s">
        <v>395</v>
      </c>
      <c r="B19" s="7">
        <f>SUMIFS('Cleaned Data'!$I$2:$I$301,'Cleaned Data'!$B$2:$B$301,"&gt;="&amp;DATE(2025,11,1),'Cleaned Data'!$B$2:$B$301,"&lt;"&amp;DATE(2025,12,1))</f>
        <v>1518710</v>
      </c>
      <c r="F19" s="9" t="s">
        <v>391</v>
      </c>
      <c r="G19" s="14">
        <v>1248590</v>
      </c>
    </row>
    <row r="20" spans="1:12" x14ac:dyDescent="0.3">
      <c r="A20" t="s">
        <v>396</v>
      </c>
      <c r="B20" s="7">
        <f>SUMIFS('Cleaned Data'!$I$2:$I$301,'Cleaned Data'!$B$2:$B$301,"&gt;="&amp;DATE(2025,12,1),'Cleaned Data'!$B$2:$B$301,"&lt;"&amp;DATE(2026,1,1))</f>
        <v>1080210</v>
      </c>
      <c r="F20" s="9" t="s">
        <v>392</v>
      </c>
      <c r="G20" s="14">
        <v>840840</v>
      </c>
    </row>
    <row r="21" spans="1:12" x14ac:dyDescent="0.3">
      <c r="F21" s="9" t="s">
        <v>393</v>
      </c>
      <c r="G21" s="14">
        <v>1773180</v>
      </c>
    </row>
    <row r="22" spans="1:12" x14ac:dyDescent="0.3">
      <c r="F22" s="9" t="s">
        <v>394</v>
      </c>
      <c r="G22" s="14">
        <v>2185110</v>
      </c>
    </row>
    <row r="23" spans="1:12" s="6" customFormat="1" x14ac:dyDescent="0.3">
      <c r="A23" s="6" t="s">
        <v>397</v>
      </c>
      <c r="B23" s="6" t="s">
        <v>8</v>
      </c>
      <c r="F23" s="9" t="s">
        <v>395</v>
      </c>
      <c r="G23" s="14">
        <v>1518710</v>
      </c>
      <c r="H23"/>
      <c r="I23"/>
      <c r="J23"/>
    </row>
    <row r="24" spans="1:12" x14ac:dyDescent="0.3">
      <c r="A24" t="s">
        <v>26</v>
      </c>
      <c r="B24" s="7">
        <f>SUMIFS('Cleaned Data'!$I$2:$I$301,'Cleaned Data'!$D$2:$D$301,A24)</f>
        <v>6264470</v>
      </c>
      <c r="F24" s="9" t="s">
        <v>396</v>
      </c>
      <c r="G24" s="14">
        <v>1080210</v>
      </c>
    </row>
    <row r="25" spans="1:12" x14ac:dyDescent="0.3">
      <c r="A25" t="s">
        <v>13</v>
      </c>
      <c r="B25" s="7">
        <f>SUMIFS('Cleaned Data'!$I$2:$I$301,'Cleaned Data'!$D$2:$D$301,A25)</f>
        <v>3824470</v>
      </c>
      <c r="F25" s="9" t="s">
        <v>401</v>
      </c>
      <c r="G25" s="14">
        <v>18326410</v>
      </c>
    </row>
    <row r="26" spans="1:12" x14ac:dyDescent="0.3">
      <c r="A26" t="s">
        <v>53</v>
      </c>
      <c r="B26" s="7">
        <f>SUMIFS('Cleaned Data'!$I$2:$I$301,'Cleaned Data'!$D$2:$D$301,A26)</f>
        <v>4463440</v>
      </c>
    </row>
    <row r="27" spans="1:12" x14ac:dyDescent="0.3">
      <c r="A27" t="s">
        <v>20</v>
      </c>
      <c r="B27" s="7">
        <f>SUMIFS('Cleaned Data'!$I$2:$I$301,'Cleaned Data'!$D$2:$D$301,A27)</f>
        <v>3460650</v>
      </c>
    </row>
    <row r="29" spans="1:12" s="6" customFormat="1" x14ac:dyDescent="0.3">
      <c r="A29" s="6" t="s">
        <v>4</v>
      </c>
      <c r="B29" s="6" t="s">
        <v>8</v>
      </c>
      <c r="F29" s="8" t="s">
        <v>400</v>
      </c>
      <c r="G29" t="s">
        <v>410</v>
      </c>
      <c r="H29"/>
      <c r="I29"/>
      <c r="J29" s="6" t="s">
        <v>4</v>
      </c>
      <c r="K29" s="6" t="s">
        <v>5</v>
      </c>
      <c r="L29" s="6" t="s">
        <v>7</v>
      </c>
    </row>
    <row r="30" spans="1:12" x14ac:dyDescent="0.3">
      <c r="A30" t="s">
        <v>27</v>
      </c>
      <c r="B30" s="7">
        <f>SUMIFS('Cleaned Data'!$I$2:$I$301,'Cleaned Data'!$E$2:$E$301,A30)</f>
        <v>9864040</v>
      </c>
      <c r="F30" s="9" t="s">
        <v>46</v>
      </c>
      <c r="G30" s="3">
        <v>563040</v>
      </c>
      <c r="J30" t="s">
        <v>27</v>
      </c>
      <c r="K30" t="s">
        <v>28</v>
      </c>
      <c r="L30" s="7">
        <f>_xlfn.XLOOKUP(J30,'Cleaned Data'!$E$2:$E$301,'Cleaned Data'!$H$2:$H$301,"Not Found")</f>
        <v>52980</v>
      </c>
    </row>
    <row r="31" spans="1:12" x14ac:dyDescent="0.3">
      <c r="A31" t="s">
        <v>32</v>
      </c>
      <c r="B31" s="7">
        <f>SUMIFS('Cleaned Data'!$I$2:$I$301,'Cleaned Data'!$E$2:$E$301,A31)</f>
        <v>3077220</v>
      </c>
      <c r="F31" s="9" t="s">
        <v>98</v>
      </c>
      <c r="G31" s="3">
        <v>193390</v>
      </c>
      <c r="J31" t="s">
        <v>32</v>
      </c>
      <c r="K31" t="s">
        <v>28</v>
      </c>
      <c r="L31" s="7">
        <f>_xlfn.XLOOKUP(J31,'Cleaned Data'!$E$2:$E$301,'Cleaned Data'!$H$2:$H$301,"Not Found")</f>
        <v>27070</v>
      </c>
    </row>
    <row r="32" spans="1:12" x14ac:dyDescent="0.3">
      <c r="A32" t="s">
        <v>64</v>
      </c>
      <c r="B32" s="7">
        <f>SUMIFS('Cleaned Data'!$I$2:$I$301,'Cleaned Data'!$E$2:$E$301,A32)</f>
        <v>1835660</v>
      </c>
      <c r="F32" s="9" t="s">
        <v>14</v>
      </c>
      <c r="G32" s="3">
        <v>198200</v>
      </c>
      <c r="J32" t="s">
        <v>64</v>
      </c>
      <c r="K32" t="s">
        <v>28</v>
      </c>
      <c r="L32" s="7">
        <f>_xlfn.XLOOKUP(J32,'Cleaned Data'!$E$2:$E$301,'Cleaned Data'!$H$2:$H$301,"Not Found")</f>
        <v>14010</v>
      </c>
    </row>
    <row r="33" spans="1:12" x14ac:dyDescent="0.3">
      <c r="A33" t="s">
        <v>35</v>
      </c>
      <c r="B33" s="7">
        <f>SUMIFS('Cleaned Data'!$I$2:$I$301,'Cleaned Data'!$E$2:$E$301,A33)</f>
        <v>1503960</v>
      </c>
      <c r="F33" s="9" t="s">
        <v>27</v>
      </c>
      <c r="G33" s="3">
        <v>9864040</v>
      </c>
      <c r="J33" t="s">
        <v>35</v>
      </c>
      <c r="K33" t="s">
        <v>28</v>
      </c>
      <c r="L33" s="7">
        <f>_xlfn.XLOOKUP(J33,'Cleaned Data'!$E$2:$E$301,'Cleaned Data'!$H$2:$H$301,"Not Found")</f>
        <v>11590</v>
      </c>
    </row>
    <row r="34" spans="1:12" x14ac:dyDescent="0.3">
      <c r="A34" t="s">
        <v>55</v>
      </c>
      <c r="B34" s="7">
        <f>SUMIFS('Cleaned Data'!$I$2:$I$301,'Cleaned Data'!$E$2:$E$301,A34)</f>
        <v>613170</v>
      </c>
      <c r="F34" s="9" t="s">
        <v>64</v>
      </c>
      <c r="G34" s="3">
        <v>1835660</v>
      </c>
      <c r="J34" t="s">
        <v>55</v>
      </c>
      <c r="K34" t="s">
        <v>47</v>
      </c>
      <c r="L34" s="7">
        <f>_xlfn.XLOOKUP(J34,'Cleaned Data'!$E$2:$E$301,'Cleaned Data'!$H$2:$H$301,"Not Found")</f>
        <v>9080</v>
      </c>
    </row>
    <row r="35" spans="1:12" x14ac:dyDescent="0.3">
      <c r="A35" t="s">
        <v>46</v>
      </c>
      <c r="B35" s="7">
        <f>SUMIFS('Cleaned Data'!$I$2:$I$301,'Cleaned Data'!$E$2:$E$301,A35)</f>
        <v>563040</v>
      </c>
      <c r="F35" s="9" t="s">
        <v>21</v>
      </c>
      <c r="G35" s="3">
        <v>79390</v>
      </c>
      <c r="J35" t="s">
        <v>46</v>
      </c>
      <c r="K35" t="s">
        <v>47</v>
      </c>
      <c r="L35" s="7">
        <f>_xlfn.XLOOKUP(J35,'Cleaned Data'!$E$2:$E$301,'Cleaned Data'!$H$2:$H$301,"Not Found")</f>
        <v>12810</v>
      </c>
    </row>
    <row r="36" spans="1:12" x14ac:dyDescent="0.3">
      <c r="A36" t="s">
        <v>39</v>
      </c>
      <c r="B36" s="7">
        <f>SUMIFS('Cleaned Data'!$I$2:$I$301,'Cleaned Data'!$E$2:$E$301,A36)</f>
        <v>398340</v>
      </c>
      <c r="F36" s="9" t="s">
        <v>55</v>
      </c>
      <c r="G36" s="3">
        <v>613170</v>
      </c>
      <c r="J36" t="s">
        <v>39</v>
      </c>
      <c r="K36" t="s">
        <v>28</v>
      </c>
      <c r="L36" s="7">
        <f>_xlfn.XLOOKUP(J36,'Cleaned Data'!$E$2:$E$301,'Cleaned Data'!$H$2:$H$301,"Not Found")</f>
        <v>3360</v>
      </c>
    </row>
    <row r="37" spans="1:12" x14ac:dyDescent="0.3">
      <c r="A37" t="s">
        <v>14</v>
      </c>
      <c r="B37" s="7">
        <f>SUMIFS('Cleaned Data'!$I$2:$I$301,'Cleaned Data'!$E$2:$E$301,A37)</f>
        <v>198200</v>
      </c>
      <c r="F37" s="9" t="s">
        <v>35</v>
      </c>
      <c r="G37" s="3">
        <v>1503960</v>
      </c>
      <c r="J37" t="s">
        <v>14</v>
      </c>
      <c r="K37" t="s">
        <v>15</v>
      </c>
      <c r="L37" s="7">
        <f>_xlfn.XLOOKUP(J37,'Cleaned Data'!$E$2:$E$301,'Cleaned Data'!$H$2:$H$301,"Not Found")</f>
        <v>1870</v>
      </c>
    </row>
    <row r="38" spans="1:12" x14ac:dyDescent="0.3">
      <c r="A38" t="s">
        <v>98</v>
      </c>
      <c r="B38" s="7">
        <f>SUMIFS('Cleaned Data'!$I$2:$I$301,'Cleaned Data'!$E$2:$E$301,A38)</f>
        <v>193390</v>
      </c>
      <c r="F38" s="9" t="s">
        <v>32</v>
      </c>
      <c r="G38" s="3">
        <v>3077220</v>
      </c>
      <c r="J38" t="s">
        <v>98</v>
      </c>
      <c r="K38" t="s">
        <v>15</v>
      </c>
      <c r="L38" s="7">
        <f>_xlfn.XLOOKUP(J38,'Cleaned Data'!$E$2:$E$301,'Cleaned Data'!$H$2:$H$301,"Not Found")</f>
        <v>2130</v>
      </c>
    </row>
    <row r="39" spans="1:12" x14ac:dyDescent="0.3">
      <c r="A39" t="s">
        <v>21</v>
      </c>
      <c r="B39" s="7">
        <f>SUMIFS('Cleaned Data'!$I$2:$I$301,'Cleaned Data'!$E$2:$E$301,A39)</f>
        <v>79390</v>
      </c>
      <c r="F39" s="9" t="s">
        <v>39</v>
      </c>
      <c r="G39" s="3">
        <v>398340</v>
      </c>
      <c r="J39" t="s">
        <v>21</v>
      </c>
      <c r="K39" t="s">
        <v>15</v>
      </c>
      <c r="L39" s="7">
        <f>_xlfn.XLOOKUP(J39,'Cleaned Data'!$E$2:$E$301,'Cleaned Data'!$H$2:$H$301,"Not Found")</f>
        <v>850</v>
      </c>
    </row>
    <row r="40" spans="1:12" x14ac:dyDescent="0.3">
      <c r="F40" s="9" t="s">
        <v>401</v>
      </c>
      <c r="G40" s="3">
        <v>18326410</v>
      </c>
    </row>
    <row r="41" spans="1:12" s="6" customFormat="1" x14ac:dyDescent="0.3">
      <c r="A41" s="6" t="s">
        <v>2</v>
      </c>
      <c r="B41" s="6" t="s">
        <v>8</v>
      </c>
      <c r="C41" s="6" t="s">
        <v>399</v>
      </c>
      <c r="D41" s="6" t="s">
        <v>383</v>
      </c>
      <c r="F41"/>
      <c r="G41"/>
      <c r="H41"/>
      <c r="I41"/>
    </row>
    <row r="42" spans="1:12" x14ac:dyDescent="0.3">
      <c r="A42" t="s">
        <v>25</v>
      </c>
      <c r="B42" s="7">
        <f>SUMIFS('Cleaned Data'!$I$2:$I$301,'Cleaned Data'!$C$2:$C$301,A42)</f>
        <v>1357030</v>
      </c>
      <c r="C42">
        <f>COUNTIF('Cleaned Data'!$C$2:$C$301,A42)</f>
        <v>18</v>
      </c>
      <c r="D42" s="7">
        <f>B42/C42</f>
        <v>75390.555555555562</v>
      </c>
    </row>
    <row r="43" spans="1:12" x14ac:dyDescent="0.3">
      <c r="A43" t="s">
        <v>93</v>
      </c>
      <c r="B43" s="7">
        <f>SUMIFS('Cleaned Data'!$I$2:$I$301,'Cleaned Data'!$C$2:$C$301,A43)</f>
        <v>1319730</v>
      </c>
      <c r="C43">
        <f>COUNTIF('Cleaned Data'!$C$2:$C$301,A43)</f>
        <v>12</v>
      </c>
      <c r="D43" s="7">
        <f t="shared" ref="D43:D62" si="0">B43/C43</f>
        <v>109977.5</v>
      </c>
    </row>
    <row r="44" spans="1:12" x14ac:dyDescent="0.3">
      <c r="A44" t="s">
        <v>52</v>
      </c>
      <c r="B44" s="7">
        <f>SUMIFS('Cleaned Data'!$I$2:$I$301,'Cleaned Data'!$C$2:$C$301,A44)</f>
        <v>1317300</v>
      </c>
      <c r="C44">
        <f>COUNTIF('Cleaned Data'!$C$2:$C$301,A44)</f>
        <v>13</v>
      </c>
      <c r="D44" s="7">
        <f t="shared" si="0"/>
        <v>101330.76923076923</v>
      </c>
    </row>
    <row r="45" spans="1:12" x14ac:dyDescent="0.3">
      <c r="A45" t="s">
        <v>89</v>
      </c>
      <c r="B45" s="7">
        <f>SUMIFS('Cleaned Data'!$I$2:$I$301,'Cleaned Data'!$C$2:$C$301,A45)</f>
        <v>1224240</v>
      </c>
      <c r="C45">
        <f>COUNTIF('Cleaned Data'!$C$2:$C$301,A45)</f>
        <v>17</v>
      </c>
      <c r="D45" s="7">
        <f t="shared" si="0"/>
        <v>72014.117647058825</v>
      </c>
    </row>
    <row r="46" spans="1:12" x14ac:dyDescent="0.3">
      <c r="A46" t="s">
        <v>45</v>
      </c>
      <c r="B46" s="7">
        <f>SUMIFS('Cleaned Data'!$I$2:$I$301,'Cleaned Data'!$C$2:$C$301,A46)</f>
        <v>1151160</v>
      </c>
      <c r="C46">
        <f>COUNTIF('Cleaned Data'!$C$2:$C$301,A46)</f>
        <v>19</v>
      </c>
      <c r="D46" s="7">
        <f t="shared" si="0"/>
        <v>60587.368421052633</v>
      </c>
    </row>
    <row r="47" spans="1:12" x14ac:dyDescent="0.3">
      <c r="A47" t="s">
        <v>41</v>
      </c>
      <c r="B47" s="7">
        <f>SUMIFS('Cleaned Data'!$I$2:$I$301,'Cleaned Data'!$C$2:$C$301,A47)</f>
        <v>1095660</v>
      </c>
      <c r="C47">
        <f>COUNTIF('Cleaned Data'!$C$2:$C$301,A47)</f>
        <v>14</v>
      </c>
      <c r="D47" s="7">
        <f t="shared" si="0"/>
        <v>78261.428571428565</v>
      </c>
    </row>
    <row r="48" spans="1:12" x14ac:dyDescent="0.3">
      <c r="A48" t="s">
        <v>66</v>
      </c>
      <c r="B48" s="7">
        <f>SUMIFS('Cleaned Data'!$I$2:$I$301,'Cleaned Data'!$C$2:$C$301,A48)</f>
        <v>1092640</v>
      </c>
      <c r="C48">
        <f>COUNTIF('Cleaned Data'!$C$2:$C$301,A48)</f>
        <v>19</v>
      </c>
      <c r="D48" s="7">
        <f t="shared" si="0"/>
        <v>57507.368421052633</v>
      </c>
    </row>
    <row r="49" spans="1:4" x14ac:dyDescent="0.3">
      <c r="A49" t="s">
        <v>60</v>
      </c>
      <c r="B49" s="7">
        <f>SUMIFS('Cleaned Data'!$I$2:$I$301,'Cleaned Data'!$C$2:$C$301,A49)</f>
        <v>1066870</v>
      </c>
      <c r="C49">
        <f>COUNTIF('Cleaned Data'!$C$2:$C$301,A49)</f>
        <v>14</v>
      </c>
      <c r="D49" s="7">
        <f t="shared" si="0"/>
        <v>76205</v>
      </c>
    </row>
    <row r="50" spans="1:4" x14ac:dyDescent="0.3">
      <c r="A50" t="s">
        <v>19</v>
      </c>
      <c r="B50" s="7">
        <f>SUMIFS('Cleaned Data'!$I$2:$I$301,'Cleaned Data'!$C$2:$C$301,A50)</f>
        <v>1056590</v>
      </c>
      <c r="C50">
        <f>COUNTIF('Cleaned Data'!$C$2:$C$301,A50)</f>
        <v>22</v>
      </c>
      <c r="D50" s="7">
        <f t="shared" si="0"/>
        <v>48026.818181818184</v>
      </c>
    </row>
    <row r="51" spans="1:4" x14ac:dyDescent="0.3">
      <c r="A51" t="s">
        <v>69</v>
      </c>
      <c r="B51" s="7">
        <f>SUMIFS('Cleaned Data'!$I$2:$I$301,'Cleaned Data'!$C$2:$C$301,A51)</f>
        <v>983050</v>
      </c>
      <c r="C51">
        <f>COUNTIF('Cleaned Data'!$C$2:$C$301,A51)</f>
        <v>21</v>
      </c>
      <c r="D51" s="7">
        <f t="shared" si="0"/>
        <v>46811.904761904763</v>
      </c>
    </row>
    <row r="52" spans="1:4" x14ac:dyDescent="0.3">
      <c r="A52" t="s">
        <v>80</v>
      </c>
      <c r="B52" s="7">
        <f>SUMIFS('Cleaned Data'!$I$2:$I$301,'Cleaned Data'!$C$2:$C$301,A52)</f>
        <v>920290</v>
      </c>
      <c r="C52">
        <f>COUNTIF('Cleaned Data'!$C$2:$C$301,A52)</f>
        <v>12</v>
      </c>
      <c r="D52" s="7">
        <f t="shared" si="0"/>
        <v>76690.833333333328</v>
      </c>
    </row>
    <row r="53" spans="1:4" x14ac:dyDescent="0.3">
      <c r="A53" t="s">
        <v>75</v>
      </c>
      <c r="B53" s="7">
        <f>SUMIFS('Cleaned Data'!$I$2:$I$301,'Cleaned Data'!$C$2:$C$301,A53)</f>
        <v>875760</v>
      </c>
      <c r="C53">
        <f>COUNTIF('Cleaned Data'!$C$2:$C$301,A53)</f>
        <v>12</v>
      </c>
      <c r="D53" s="7">
        <f t="shared" si="0"/>
        <v>72980</v>
      </c>
    </row>
    <row r="54" spans="1:4" x14ac:dyDescent="0.3">
      <c r="A54" t="s">
        <v>49</v>
      </c>
      <c r="B54" s="7">
        <f>SUMIFS('Cleaned Data'!$I$2:$I$301,'Cleaned Data'!$C$2:$C$301,A54)</f>
        <v>824240</v>
      </c>
      <c r="C54">
        <f>COUNTIF('Cleaned Data'!$C$2:$C$301,A54)</f>
        <v>14</v>
      </c>
      <c r="D54" s="7">
        <f t="shared" si="0"/>
        <v>58874.285714285717</v>
      </c>
    </row>
    <row r="55" spans="1:4" x14ac:dyDescent="0.3">
      <c r="A55" t="s">
        <v>31</v>
      </c>
      <c r="B55" s="7">
        <f>SUMIFS('Cleaned Data'!$I$2:$I$301,'Cleaned Data'!$C$2:$C$301,A55)</f>
        <v>819770</v>
      </c>
      <c r="C55">
        <f>COUNTIF('Cleaned Data'!$C$2:$C$301,A55)</f>
        <v>23</v>
      </c>
      <c r="D55" s="7">
        <f t="shared" si="0"/>
        <v>35642.17391304348</v>
      </c>
    </row>
    <row r="56" spans="1:4" x14ac:dyDescent="0.3">
      <c r="A56" t="s">
        <v>103</v>
      </c>
      <c r="B56" s="7">
        <f>SUMIFS('Cleaned Data'!$I$2:$I$301,'Cleaned Data'!$C$2:$C$301,A56)</f>
        <v>741800</v>
      </c>
      <c r="C56">
        <f>COUNTIF('Cleaned Data'!$C$2:$C$301,A56)</f>
        <v>11</v>
      </c>
      <c r="D56" s="7">
        <f t="shared" si="0"/>
        <v>67436.363636363632</v>
      </c>
    </row>
    <row r="57" spans="1:4" x14ac:dyDescent="0.3">
      <c r="A57" t="s">
        <v>101</v>
      </c>
      <c r="B57" s="7">
        <f>SUMIFS('Cleaned Data'!$I$2:$I$301,'Cleaned Data'!$C$2:$C$301,A57)</f>
        <v>718140</v>
      </c>
      <c r="C57">
        <f>COUNTIF('Cleaned Data'!$C$2:$C$301,A57)</f>
        <v>14</v>
      </c>
      <c r="D57" s="7">
        <f t="shared" si="0"/>
        <v>51295.714285714283</v>
      </c>
    </row>
    <row r="58" spans="1:4" x14ac:dyDescent="0.3">
      <c r="A58" t="s">
        <v>85</v>
      </c>
      <c r="B58" s="7">
        <f>SUMIFS('Cleaned Data'!$I$2:$I$301,'Cleaned Data'!$C$2:$C$301,A58)</f>
        <v>491840</v>
      </c>
      <c r="C58">
        <f>COUNTIF('Cleaned Data'!$C$2:$C$301,A58)</f>
        <v>10</v>
      </c>
      <c r="D58" s="7">
        <f t="shared" si="0"/>
        <v>49184</v>
      </c>
    </row>
    <row r="59" spans="1:4" x14ac:dyDescent="0.3">
      <c r="A59" t="s">
        <v>12</v>
      </c>
      <c r="B59" s="7">
        <f>SUMIFS('Cleaned Data'!$I$2:$I$301,'Cleaned Data'!$C$2:$C$301,A59)</f>
        <v>367930</v>
      </c>
      <c r="C59">
        <f>COUNTIF('Cleaned Data'!$C$2:$C$301,A59)</f>
        <v>10</v>
      </c>
      <c r="D59" s="7">
        <f t="shared" si="0"/>
        <v>36793</v>
      </c>
    </row>
    <row r="60" spans="1:4" x14ac:dyDescent="0.3">
      <c r="A60" t="s">
        <v>43</v>
      </c>
      <c r="B60" s="7">
        <f>SUMIFS('Cleaned Data'!$I$2:$I$301,'Cleaned Data'!$C$2:$C$301,A60)</f>
        <v>269890</v>
      </c>
      <c r="C60">
        <f>COUNTIF('Cleaned Data'!$C$2:$C$301,A60)</f>
        <v>10</v>
      </c>
      <c r="D60" s="7">
        <f t="shared" si="0"/>
        <v>26989</v>
      </c>
    </row>
    <row r="61" spans="1:4" x14ac:dyDescent="0.3">
      <c r="A61" t="s">
        <v>120</v>
      </c>
      <c r="B61" s="7">
        <f>SUMIFS('Cleaned Data'!$I$2:$I$301,'Cleaned Data'!$C$2:$C$301,A61)</f>
        <v>178610</v>
      </c>
      <c r="C61">
        <f>COUNTIF('Cleaned Data'!$C$2:$C$301,A61)</f>
        <v>11</v>
      </c>
      <c r="D61" s="7">
        <f t="shared" si="0"/>
        <v>16237.272727272728</v>
      </c>
    </row>
    <row r="62" spans="1:4" x14ac:dyDescent="0.3">
      <c r="A62" t="s">
        <v>377</v>
      </c>
      <c r="B62" s="7">
        <f>SUMIFS('Cleaned Data'!$I$2:$I$301,'Cleaned Data'!$C$2:$C$301,A62)</f>
        <v>96120</v>
      </c>
      <c r="C62">
        <f>COUNTIF('Cleaned Data'!$C$2:$C$301,A62)</f>
        <v>1</v>
      </c>
      <c r="D62" s="7">
        <f t="shared" si="0"/>
        <v>96120</v>
      </c>
    </row>
    <row r="65" spans="1:9" s="6" customFormat="1" ht="18" x14ac:dyDescent="0.35">
      <c r="A65" s="21" t="s">
        <v>411</v>
      </c>
      <c r="B65" s="21"/>
      <c r="C65" s="21"/>
    </row>
    <row r="66" spans="1:9" ht="16.2" customHeight="1" thickBot="1" x14ac:dyDescent="0.35"/>
    <row r="67" spans="1:9" x14ac:dyDescent="0.3">
      <c r="A67" s="24" t="s">
        <v>412</v>
      </c>
      <c r="B67" s="30" t="s">
        <v>27</v>
      </c>
    </row>
    <row r="68" spans="1:9" x14ac:dyDescent="0.3">
      <c r="A68" s="31" t="s">
        <v>413</v>
      </c>
      <c r="B68" s="32" t="s">
        <v>26</v>
      </c>
    </row>
    <row r="69" spans="1:9" ht="15" thickBot="1" x14ac:dyDescent="0.35">
      <c r="A69" s="27" t="s">
        <v>414</v>
      </c>
      <c r="B69" s="33" t="s">
        <v>21</v>
      </c>
    </row>
    <row r="70" spans="1:9" ht="15" thickBot="1" x14ac:dyDescent="0.35">
      <c r="A70" s="22"/>
      <c r="B70" s="15"/>
    </row>
    <row r="71" spans="1:9" x14ac:dyDescent="0.3">
      <c r="A71" s="24" t="s">
        <v>415</v>
      </c>
      <c r="B71" s="25" t="s">
        <v>416</v>
      </c>
      <c r="C71" s="25"/>
      <c r="D71" s="25"/>
      <c r="E71" s="25"/>
      <c r="F71" s="25"/>
      <c r="G71" s="25"/>
      <c r="H71" s="26"/>
      <c r="I71" s="23"/>
    </row>
    <row r="72" spans="1:9" ht="15" thickBot="1" x14ac:dyDescent="0.35">
      <c r="A72" s="27" t="s">
        <v>417</v>
      </c>
      <c r="B72" s="28" t="s">
        <v>418</v>
      </c>
      <c r="C72" s="28"/>
      <c r="D72" s="28"/>
      <c r="E72" s="28"/>
      <c r="F72" s="28"/>
      <c r="G72" s="28"/>
      <c r="H72" s="29"/>
    </row>
    <row r="73" spans="1:9" x14ac:dyDescent="0.3">
      <c r="A73" s="6"/>
    </row>
    <row r="83" spans="4:4" x14ac:dyDescent="0.3">
      <c r="D83" s="15"/>
    </row>
  </sheetData>
  <sortState xmlns:xlrd2="http://schemas.microsoft.com/office/spreadsheetml/2017/richdata2" ref="A42:B62">
    <sortCondition descending="1" ref="B42:B62"/>
  </sortState>
  <mergeCells count="3">
    <mergeCell ref="A65:C65"/>
    <mergeCell ref="B72:H72"/>
    <mergeCell ref="B71:H71"/>
  </mergeCells>
  <conditionalFormatting pivot="1" sqref="G30:G39">
    <cfRule type="dataBar" priority="2">
      <dataBar>
        <cfvo type="min"/>
        <cfvo type="max"/>
        <color rgb="FF638EC6"/>
      </dataBar>
      <extLst>
        <ext xmlns:x14="http://schemas.microsoft.com/office/spreadsheetml/2009/9/main" uri="{B025F937-C7B1-47D3-B67F-A62EFF666E3E}">
          <x14:id>{A9E359B6-6C53-4684-BC2C-45348CC98EE9}</x14:id>
        </ext>
      </extLst>
    </cfRule>
  </conditionalFormatting>
  <conditionalFormatting pivot="1" sqref="G4:G8">
    <cfRule type="dataBar" priority="1">
      <dataBar>
        <cfvo type="min"/>
        <cfvo type="max"/>
        <color rgb="FF63C384"/>
      </dataBar>
      <extLst>
        <ext xmlns:x14="http://schemas.microsoft.com/office/spreadsheetml/2009/9/main" uri="{B025F937-C7B1-47D3-B67F-A62EFF666E3E}">
          <x14:id>{123E13EF-BF7D-4E67-BA96-81EFF085D30A}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9E359B6-6C53-4684-BC2C-45348CC98EE9}">
            <x14:dataBar minLength="0" maxLength="100" border="1" negativeBarBorderColorSameAsPositive="0">
              <x14:cfvo type="autoMin"/>
              <x14:cfvo type="autoMax"/>
              <x14:borderColor rgb="FF638EC6"/>
              <x14:negativeFillColor rgb="FFFF0000"/>
              <x14:negativeBorderColor rgb="FFFF0000"/>
              <x14:axisColor rgb="FF000000"/>
            </x14:dataBar>
          </x14:cfRule>
          <xm:sqref>G30:G39</xm:sqref>
        </x14:conditionalFormatting>
        <x14:conditionalFormatting xmlns:xm="http://schemas.microsoft.com/office/excel/2006/main" pivot="1">
          <x14:cfRule type="dataBar" id="{123E13EF-BF7D-4E67-BA96-81EFF085D30A}">
            <x14:dataBar minLength="0" maxLength="100" border="1" negativeBarBorderColorSameAsPositive="0">
              <x14:cfvo type="autoMin"/>
              <x14:cfvo type="autoMax"/>
              <x14:borderColor rgb="FF63C384"/>
              <x14:negativeFillColor rgb="FFFF0000"/>
              <x14:negativeBorderColor rgb="FFFF0000"/>
              <x14:axisColor rgb="FF000000"/>
            </x14:dataBar>
          </x14:cfRule>
          <xm:sqref>G4:G8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1622-0D23-4361-83E3-39CB0569F336}">
  <dimension ref="B2:T41"/>
  <sheetViews>
    <sheetView tabSelected="1" workbookViewId="0">
      <selection activeCell="Q22" sqref="Q22"/>
    </sheetView>
  </sheetViews>
  <sheetFormatPr defaultRowHeight="14.4" x14ac:dyDescent="0.3"/>
  <cols>
    <col min="20" max="20" width="14.77734375" customWidth="1"/>
  </cols>
  <sheetData>
    <row r="2" spans="2:20" s="6" customFormat="1" ht="23.4" x14ac:dyDescent="0.45">
      <c r="B2" s="12" t="s">
        <v>403</v>
      </c>
      <c r="C2" s="12"/>
      <c r="D2" s="12"/>
      <c r="E2" s="12"/>
      <c r="F2" s="12"/>
      <c r="G2" s="12"/>
      <c r="H2" s="12"/>
      <c r="I2" s="12"/>
      <c r="J2" s="12"/>
      <c r="K2" s="12"/>
      <c r="L2" s="12"/>
      <c r="M2" s="12"/>
      <c r="N2" s="12"/>
      <c r="O2" s="12"/>
    </row>
    <row r="4" spans="2:20" s="6" customFormat="1" x14ac:dyDescent="0.3">
      <c r="C4" s="13" t="s">
        <v>404</v>
      </c>
      <c r="D4" s="13"/>
      <c r="E4" s="13" t="s">
        <v>405</v>
      </c>
      <c r="F4" s="13"/>
      <c r="G4" s="13" t="s">
        <v>406</v>
      </c>
      <c r="H4" s="13"/>
      <c r="I4" s="13" t="s">
        <v>407</v>
      </c>
      <c r="J4" s="13"/>
      <c r="K4" s="13"/>
      <c r="S4" s="6" t="s">
        <v>408</v>
      </c>
    </row>
    <row r="5" spans="2:20" ht="18" x14ac:dyDescent="0.35">
      <c r="C5" s="10">
        <f>Analysis!B2</f>
        <v>18326410</v>
      </c>
      <c r="D5" s="10"/>
      <c r="E5" s="10">
        <f>Analysis!B3</f>
        <v>300</v>
      </c>
      <c r="F5" s="10"/>
      <c r="G5" s="10">
        <f>Analysis!B4</f>
        <v>1071</v>
      </c>
      <c r="H5" s="10"/>
      <c r="I5" s="11">
        <v>61088.033333333333</v>
      </c>
      <c r="J5" s="11"/>
      <c r="K5" s="11"/>
      <c r="S5" s="16" t="s">
        <v>0</v>
      </c>
      <c r="T5" s="17" t="s">
        <v>24</v>
      </c>
    </row>
    <row r="6" spans="2:20" x14ac:dyDescent="0.3">
      <c r="S6" s="18" t="s">
        <v>4</v>
      </c>
      <c r="T6" s="19" t="str">
        <f>_xlfn.XLOOKUP(T5,'Cleaned Data'!$A$2:$A$301,'Cleaned Data'!$E$2:$E$301,"Not Found")</f>
        <v>Laptop</v>
      </c>
    </row>
    <row r="7" spans="2:20" x14ac:dyDescent="0.3">
      <c r="S7" s="18" t="s">
        <v>409</v>
      </c>
      <c r="T7" s="19" t="str">
        <f>_xlfn.XLOOKUP(T5,'Cleaned Data'!$A$2:$A$301,'Cleaned Data'!$C$2:$C$301)</f>
        <v>Lotus Enterprises</v>
      </c>
    </row>
    <row r="8" spans="2:20" x14ac:dyDescent="0.3">
      <c r="S8" s="18" t="s">
        <v>8</v>
      </c>
      <c r="T8" s="19">
        <f>_xlfn.XLOOKUP(T5,'Cleaned Data'!$A$2:$A$301,'Cleaned Data'!$I$2:$I$301)</f>
        <v>529800</v>
      </c>
    </row>
    <row r="9" spans="2:20" x14ac:dyDescent="0.3">
      <c r="S9" s="20" t="s">
        <v>5</v>
      </c>
      <c r="T9" s="34" t="str">
        <f>VLOOKUP(T5,'Cleaned Data'!$A$2:$F$301,6,FALSE)</f>
        <v>Electronics</v>
      </c>
    </row>
    <row r="41" s="6" customFormat="1" x14ac:dyDescent="0.3"/>
  </sheetData>
  <mergeCells count="9">
    <mergeCell ref="C5:D5"/>
    <mergeCell ref="E5:F5"/>
    <mergeCell ref="G5:H5"/>
    <mergeCell ref="I5:K5"/>
    <mergeCell ref="B2:O2"/>
    <mergeCell ref="C4:D4"/>
    <mergeCell ref="E4:F4"/>
    <mergeCell ref="G4:H4"/>
    <mergeCell ref="I4: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Sales Data</vt:lpstr>
      <vt:lpstr>Project Guide</vt:lpstr>
      <vt:lpstr>Cleaned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gurumeharwade188@gmail.com</cp:lastModifiedBy>
  <dcterms:created xsi:type="dcterms:W3CDTF">2026-09-21T07:57:07Z</dcterms:created>
  <dcterms:modified xsi:type="dcterms:W3CDTF">2026-10-07T03:52:53Z</dcterms:modified>
</cp:coreProperties>
</file>